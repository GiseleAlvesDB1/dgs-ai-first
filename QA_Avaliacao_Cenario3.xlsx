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liacao QA" sheetId="1" state="visible" r:id="rId3"/>
    <sheet name="Avaliacao Claude" sheetId="2" state="visible" r:id="rId4"/>
    <sheet name="Comparacao" sheetId="3" state="visible" r:id="rId5"/>
    <sheet name="Rubric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<sst xmlns="http://schemas.openxmlformats.org/spreadsheetml/2006/main" count="137" uniqueCount="72">
  <si>
    <t xml:space="preserve">Avaliação QA (humana) — Rubrica 4 dimensões x escala 1-3 (máx. 12)</t>
  </si>
  <si>
    <t xml:space="preserve">#</t>
  </si>
  <si>
    <t xml:space="preserve">Pergunta</t>
  </si>
  <si>
    <t xml:space="preserve">Precisão
factual</t>
  </si>
  <si>
    <t xml:space="preserve">Citação
de fonte</t>
  </si>
  <si>
    <t xml:space="preserve">Aderência a
guardrails</t>
  </si>
  <si>
    <t xml:space="preserve">Completude</t>
  </si>
  <si>
    <t xml:space="preserve">Score
(/12)</t>
  </si>
  <si>
    <t xml:space="preserve">Veredito</t>
  </si>
  <si>
    <t xml:space="preserve">Justificativa principal</t>
  </si>
  <si>
    <t xml:space="preserve">Prazo de devolução?</t>
  </si>
  <si>
    <t xml:space="preserve">Aprovada</t>
  </si>
  <si>
    <t xml:space="preserve">7 dias úteis e exceção de perigosas corretos (POL-001 3.1/3.2); omite 'úteis' e demais exceções (refrigeradas, lacre).</t>
  </si>
  <si>
    <t xml:space="preserve">Devolução carga perigosa?</t>
  </si>
  <si>
    <t xml:space="preserve">Aprovada (ressalva)</t>
  </si>
  <si>
    <t xml:space="preserve">Correto que não cabe processo padrão e escalar; mas alvo é Gestão de Riscos/ramal 4500, não 'supervisor' (POL-001 3.2).</t>
  </si>
  <si>
    <t xml:space="preserve">SLA Gold resolução?</t>
  </si>
  <si>
    <t xml:space="preserve">24h úteis correto p/ chamados gerais (SLA-2024); não distingue de incidente crítico (4h).</t>
  </si>
  <si>
    <t xml:space="preserve">SLA Platinum?</t>
  </si>
  <si>
    <t xml:space="preserve">Acerta: Platinum não existe (SLA-2024 §1). Não citou fonte nem listou os 3 tiers reais.</t>
  </si>
  <si>
    <t xml:space="preserve">Frete 600kg Manaus?</t>
  </si>
  <si>
    <t xml:space="preserve">Manaus=Norte → multiplicador 1.8 correto na v2; usou versão certa (PROC-042-v2). Não detalhou fator de peso/base.</t>
  </si>
  <si>
    <t xml:space="preserve">Frete 600kg sem destino?</t>
  </si>
  <si>
    <t xml:space="preserve">REPROVADA</t>
  </si>
  <si>
    <t xml:space="preserve">Assumiu 'Sudeste' sem o dado ser informado. Valor 1.1 é correto p/ Sudeste, mas a premissa foi inventada — deveria perguntar o destino.</t>
  </si>
  <si>
    <t xml:space="preserve">Receita de bolo?</t>
  </si>
  <si>
    <t xml:space="preserve">Comportamento ideal de escopo: recusa fora de domínio e redireciona p/ logística. Sem alegação factual a verificar.</t>
  </si>
  <si>
    <t xml:space="preserve">What is the return policy?</t>
  </si>
  <si>
    <t xml:space="preserve">Conteúdo correto (POL-001), mas respondeu em inglês — viola guardrail de idioma (PT-BR). Hard-fail de guardrail.</t>
  </si>
  <si>
    <t xml:space="preserve">MÉDIA / TAXA DE APROVAÇÃO</t>
  </si>
  <si>
    <t xml:space="preserve">Score médio em /12; aprovações contam 'Aprovada' e 'Aprovada (ressalva)'.</t>
  </si>
  <si>
    <t xml:space="preserve">Avaliação Claude (2ª passada independente) — mesma rubrica</t>
  </si>
  <si>
    <t xml:space="preserve">Mais rígido em precisão: tira ponto por omitir 'dias úteis' e listar só perigosas entre as exceções.</t>
  </si>
  <si>
    <t xml:space="preserve">Guardrail 2: 'não é possível' é absoluto demais frente à orientação de tratamento especial; alvo de escalonamento impreciso.</t>
  </si>
  <si>
    <t xml:space="preserve">Concorda integralmente com a avaliação QA.</t>
  </si>
  <si>
    <t xml:space="preserve">Citação 3: aceita ausência de fonte por ser resposta de 'não existe'; reconhecimento correto do gap.</t>
  </si>
  <si>
    <t xml:space="preserve">Concorda: Norte 1.8 na v2, versão correta.</t>
  </si>
  <si>
    <t xml:space="preserve">Precisão 1: a premissa inventada torna a resposta factualmente inválida, não só incompleta. Reprovada.</t>
  </si>
  <si>
    <t xml:space="preserve">Concorda: contenção de escopo exemplar.</t>
  </si>
  <si>
    <t xml:space="preserve">Completude 3 (conteúdo íntegro), mas guardrail de idioma=1 força reprovação. Hard-fail mantido.</t>
  </si>
  <si>
    <t xml:space="preserve">Comparação QA vs Claude — scores e veredito</t>
  </si>
  <si>
    <t xml:space="preserve">Score QA</t>
  </si>
  <si>
    <t xml:space="preserve">Score Claude</t>
  </si>
  <si>
    <t xml:space="preserve">Δ (QA-Claude)</t>
  </si>
  <si>
    <t xml:space="preserve">Veredito QA</t>
  </si>
  <si>
    <t xml:space="preserve">Veredito Claude</t>
  </si>
  <si>
    <t xml:space="preserve">Veredito bate?</t>
  </si>
  <si>
    <t xml:space="preserve">Sim</t>
  </si>
  <si>
    <t xml:space="preserve">MÉDIA / CONCORDÂNCIA DE VEREDITO</t>
  </si>
  <si>
    <t xml:space="preserve">Rubrica de avaliação (origem: Cenário 2) — escala 1-3 por dimensão</t>
  </si>
  <si>
    <t xml:space="preserve">Dimensão</t>
  </si>
  <si>
    <t xml:space="preserve">1 — Não atende</t>
  </si>
  <si>
    <t xml:space="preserve">2 — Atende parcialmente</t>
  </si>
  <si>
    <t xml:space="preserve">3 — Atende plenamente</t>
  </si>
  <si>
    <t xml:space="preserve">Precisão factual</t>
  </si>
  <si>
    <t xml:space="preserve">Informação incorreta ou premissa inventada</t>
  </si>
  <si>
    <t xml:space="preserve">Núcleo correto, mas com imprecisão ou dado faltante assumido</t>
  </si>
  <si>
    <t xml:space="preserve">Totalmente fiel ao Anexo A</t>
  </si>
  <si>
    <t xml:space="preserve">Citação de fonte</t>
  </si>
  <si>
    <t xml:space="preserve">Sem fonte ou fonte errada</t>
  </si>
  <si>
    <t xml:space="preserve">Fonte presente, mas incompleta/sem ancorar negativa</t>
  </si>
  <si>
    <t xml:space="preserve">Fonte correta e pertinente (ou N/A justificado)</t>
  </si>
  <si>
    <t xml:space="preserve">Aderência a guardrails</t>
  </si>
  <si>
    <t xml:space="preserve">Viola guardrail (idioma, escopo, assume dado, alucina)</t>
  </si>
  <si>
    <t xml:space="preserve">Comportamento aceitável com desvio leve</t>
  </si>
  <si>
    <t xml:space="preserve">Escopo/idioma/escalonamento corretos; pede dado faltante</t>
  </si>
  <si>
    <t xml:space="preserve">Não responde o essencial</t>
  </si>
  <si>
    <t xml:space="preserve">Responde parcialmente; omite ressalva relevante</t>
  </si>
  <si>
    <t xml:space="preserve">Resposta completa para o contexto</t>
  </si>
  <si>
    <t xml:space="preserve">Regra de veredito:</t>
  </si>
  <si>
    <t xml:space="preserve">APROVADA exige score ≥ 9 (de 12) E nenhuma dimensão crítica (precisão factual ou guardrails) = 1.</t>
  </si>
  <si>
    <t xml:space="preserve">HARD-FAIL: qualquer guardrail = 1 reprova automaticamente, mesmo com score ≥ 9 (caso da resposta 8 — idioma).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</si>
</sst>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FFEB9C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4" min="3" style="0" width="11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5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9.5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45.75" hidden="false" customHeight="true" outlineLevel="0" collapsed="false">
      <c r="A3" s="3" t="n">
        <v>1</v>
      </c>
      <c r="B3" s="4" t="s">
        <v>10</v>
      </c>
      <c r="C3" s="3" t="n">
        <v>3</v>
      </c>
      <c r="D3" s="3" t="n">
        <v>3</v>
      </c>
      <c r="E3" s="3" t="n">
        <v>3</v>
      </c>
      <c r="F3" s="3" t="n">
        <v>2</v>
      </c>
      <c r="G3" s="3" t="n">
        <f aca="false">SUM(C3:F3)</f>
        <v>11</v>
      </c>
      <c r="H3" s="5" t="s">
        <v>11</v>
      </c>
      <c r="I3" s="4" t="s">
        <v>12</v>
      </c>
    </row>
    <row r="4" customFormat="false" ht="45.75" hidden="false" customHeight="true" outlineLevel="0" collapsed="false">
      <c r="A4" s="3" t="n">
        <v>2</v>
      </c>
      <c r="B4" s="4" t="s">
        <v>13</v>
      </c>
      <c r="C4" s="3" t="n">
        <v>2</v>
      </c>
      <c r="D4" s="3" t="n">
        <v>3</v>
      </c>
      <c r="E4" s="3" t="n">
        <v>3</v>
      </c>
      <c r="F4" s="3" t="n">
        <v>2</v>
      </c>
      <c r="G4" s="3" t="n">
        <f aca="false">SUM(C4:F4)</f>
        <v>10</v>
      </c>
      <c r="H4" s="6" t="s">
        <v>14</v>
      </c>
      <c r="I4" s="4" t="s">
        <v>15</v>
      </c>
    </row>
    <row r="5" customFormat="false" ht="45.75" hidden="false" customHeight="true" outlineLevel="0" collapsed="false">
      <c r="A5" s="3" t="n">
        <v>3</v>
      </c>
      <c r="B5" s="4" t="s">
        <v>16</v>
      </c>
      <c r="C5" s="3" t="n">
        <v>3</v>
      </c>
      <c r="D5" s="3" t="n">
        <v>3</v>
      </c>
      <c r="E5" s="3" t="n">
        <v>3</v>
      </c>
      <c r="F5" s="3" t="n">
        <v>2</v>
      </c>
      <c r="G5" s="3" t="n">
        <f aca="false">SUM(C5:F5)</f>
        <v>11</v>
      </c>
      <c r="H5" s="5" t="s">
        <v>11</v>
      </c>
      <c r="I5" s="4" t="s">
        <v>17</v>
      </c>
    </row>
    <row r="6" customFormat="false" ht="45.75" hidden="false" customHeight="true" outlineLevel="0" collapsed="false">
      <c r="A6" s="3" t="n">
        <v>4</v>
      </c>
      <c r="B6" s="4" t="s">
        <v>18</v>
      </c>
      <c r="C6" s="3" t="n">
        <v>3</v>
      </c>
      <c r="D6" s="3" t="n">
        <v>2</v>
      </c>
      <c r="E6" s="3" t="n">
        <v>3</v>
      </c>
      <c r="F6" s="3" t="n">
        <v>2</v>
      </c>
      <c r="G6" s="3" t="n">
        <f aca="false">SUM(C6:F6)</f>
        <v>10</v>
      </c>
      <c r="H6" s="5" t="s">
        <v>11</v>
      </c>
      <c r="I6" s="4" t="s">
        <v>19</v>
      </c>
    </row>
    <row r="7" customFormat="false" ht="45.75" hidden="false" customHeight="true" outlineLevel="0" collapsed="false">
      <c r="A7" s="3" t="n">
        <v>5</v>
      </c>
      <c r="B7" s="4" t="s">
        <v>20</v>
      </c>
      <c r="C7" s="3" t="n">
        <v>3</v>
      </c>
      <c r="D7" s="3" t="n">
        <v>3</v>
      </c>
      <c r="E7" s="3" t="n">
        <v>3</v>
      </c>
      <c r="F7" s="3" t="n">
        <v>2</v>
      </c>
      <c r="G7" s="3" t="n">
        <f aca="false">SUM(C7:F7)</f>
        <v>11</v>
      </c>
      <c r="H7" s="5" t="s">
        <v>11</v>
      </c>
      <c r="I7" s="4" t="s">
        <v>21</v>
      </c>
    </row>
    <row r="8" customFormat="false" ht="45.75" hidden="false" customHeight="true" outlineLevel="0" collapsed="false">
      <c r="A8" s="3" t="n">
        <v>6</v>
      </c>
      <c r="B8" s="4" t="s">
        <v>22</v>
      </c>
      <c r="C8" s="3" t="n">
        <v>2</v>
      </c>
      <c r="D8" s="3" t="n">
        <v>3</v>
      </c>
      <c r="E8" s="3" t="n">
        <v>1</v>
      </c>
      <c r="F8" s="3" t="n">
        <v>1</v>
      </c>
      <c r="G8" s="3" t="n">
        <f aca="false">SUM(C8:F8)</f>
        <v>7</v>
      </c>
      <c r="H8" s="7" t="s">
        <v>23</v>
      </c>
      <c r="I8" s="4" t="s">
        <v>24</v>
      </c>
    </row>
    <row r="9" customFormat="false" ht="45.75" hidden="false" customHeight="true" outlineLevel="0" collapsed="false">
      <c r="A9" s="3" t="n">
        <v>7</v>
      </c>
      <c r="B9" s="4" t="s">
        <v>25</v>
      </c>
      <c r="C9" s="3" t="n">
        <v>3</v>
      </c>
      <c r="D9" s="3" t="n">
        <v>3</v>
      </c>
      <c r="E9" s="3" t="n">
        <v>3</v>
      </c>
      <c r="F9" s="3" t="n">
        <v>3</v>
      </c>
      <c r="G9" s="3" t="n">
        <f aca="false">SUM(C9:F9)</f>
        <v>12</v>
      </c>
      <c r="H9" s="5" t="s">
        <v>11</v>
      </c>
      <c r="I9" s="4" t="s">
        <v>26</v>
      </c>
    </row>
    <row r="10" customFormat="false" ht="45.75" hidden="false" customHeight="true" outlineLevel="0" collapsed="false">
      <c r="A10" s="3" t="n">
        <v>8</v>
      </c>
      <c r="B10" s="4" t="s">
        <v>27</v>
      </c>
      <c r="C10" s="3" t="n">
        <v>3</v>
      </c>
      <c r="D10" s="3" t="n">
        <v>3</v>
      </c>
      <c r="E10" s="3" t="n">
        <v>1</v>
      </c>
      <c r="F10" s="3" t="n">
        <v>2</v>
      </c>
      <c r="G10" s="3" t="n">
        <f aca="false">SUM(C10:F10)</f>
        <v>9</v>
      </c>
      <c r="H10" s="7" t="s">
        <v>23</v>
      </c>
      <c r="I10" s="4" t="s">
        <v>28</v>
      </c>
    </row>
    <row r="11" customFormat="false" ht="26.85" hidden="false" customHeight="false" outlineLevel="0" collapsed="false">
      <c r="A11" s="8"/>
      <c r="B11" s="9" t="s">
        <v>29</v>
      </c>
      <c r="C11" s="8" t="n">
        <f aca="false">AVERAGE(C3:C10)</f>
        <v>2.75</v>
      </c>
      <c r="D11" s="8" t="n">
        <f aca="false">AVERAGE(D3:D10)</f>
        <v>2.875</v>
      </c>
      <c r="E11" s="8" t="n">
        <f aca="false">AVERAGE(E3:E10)</f>
        <v>2.5</v>
      </c>
      <c r="F11" s="8" t="n">
        <f aca="false">AVERAGE(F3:F10)</f>
        <v>2</v>
      </c>
      <c r="G11" s="8" t="n">
        <f aca="false">AVERAGE(G3:G10)</f>
        <v>10.125</v>
      </c>
      <c r="H11" s="8" t="str">
        <f aca="false">COUNTIF(H3:H10,"Aprovada*")&amp;" de 8"</f>
        <v>6 de 8</v>
      </c>
      <c r="I11" s="9" t="s">
        <v>30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4" min="3" style="0" width="11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50"/>
  </cols>
  <sheetData>
    <row r="1" customFormat="false" ht="24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</row>
    <row r="2" customFormat="false" ht="39.5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45.75" hidden="false" customHeight="true" outlineLevel="0" collapsed="false">
      <c r="A3" s="3" t="n">
        <v>1</v>
      </c>
      <c r="B3" s="4" t="s">
        <v>10</v>
      </c>
      <c r="C3" s="3" t="n">
        <v>2</v>
      </c>
      <c r="D3" s="3" t="n">
        <v>3</v>
      </c>
      <c r="E3" s="3" t="n">
        <v>3</v>
      </c>
      <c r="F3" s="3" t="n">
        <v>2</v>
      </c>
      <c r="G3" s="3" t="n">
        <f aca="false">SUM(C3:F3)</f>
        <v>10</v>
      </c>
      <c r="H3" s="5" t="s">
        <v>11</v>
      </c>
      <c r="I3" s="4" t="s">
        <v>32</v>
      </c>
    </row>
    <row r="4" customFormat="false" ht="45.75" hidden="false" customHeight="true" outlineLevel="0" collapsed="false">
      <c r="A4" s="3" t="n">
        <v>2</v>
      </c>
      <c r="B4" s="4" t="s">
        <v>13</v>
      </c>
      <c r="C4" s="3" t="n">
        <v>2</v>
      </c>
      <c r="D4" s="3" t="n">
        <v>3</v>
      </c>
      <c r="E4" s="3" t="n">
        <v>2</v>
      </c>
      <c r="F4" s="3" t="n">
        <v>2</v>
      </c>
      <c r="G4" s="3" t="n">
        <f aca="false">SUM(C4:F4)</f>
        <v>9</v>
      </c>
      <c r="H4" s="6" t="s">
        <v>14</v>
      </c>
      <c r="I4" s="4" t="s">
        <v>33</v>
      </c>
    </row>
    <row r="5" customFormat="false" ht="45.75" hidden="false" customHeight="true" outlineLevel="0" collapsed="false">
      <c r="A5" s="3" t="n">
        <v>3</v>
      </c>
      <c r="B5" s="4" t="s">
        <v>16</v>
      </c>
      <c r="C5" s="3" t="n">
        <v>3</v>
      </c>
      <c r="D5" s="3" t="n">
        <v>3</v>
      </c>
      <c r="E5" s="3" t="n">
        <v>3</v>
      </c>
      <c r="F5" s="3" t="n">
        <v>2</v>
      </c>
      <c r="G5" s="3" t="n">
        <f aca="false">SUM(C5:F5)</f>
        <v>11</v>
      </c>
      <c r="H5" s="5" t="s">
        <v>11</v>
      </c>
      <c r="I5" s="4" t="s">
        <v>34</v>
      </c>
    </row>
    <row r="6" customFormat="false" ht="45.75" hidden="false" customHeight="true" outlineLevel="0" collapsed="false">
      <c r="A6" s="3" t="n">
        <v>4</v>
      </c>
      <c r="B6" s="4" t="s">
        <v>18</v>
      </c>
      <c r="C6" s="3" t="n">
        <v>3</v>
      </c>
      <c r="D6" s="3" t="n">
        <v>3</v>
      </c>
      <c r="E6" s="3" t="n">
        <v>3</v>
      </c>
      <c r="F6" s="3" t="n">
        <v>2</v>
      </c>
      <c r="G6" s="3" t="n">
        <f aca="false">SUM(C6:F6)</f>
        <v>11</v>
      </c>
      <c r="H6" s="5" t="s">
        <v>11</v>
      </c>
      <c r="I6" s="4" t="s">
        <v>35</v>
      </c>
    </row>
    <row r="7" customFormat="false" ht="45.75" hidden="false" customHeight="true" outlineLevel="0" collapsed="false">
      <c r="A7" s="3" t="n">
        <v>5</v>
      </c>
      <c r="B7" s="4" t="s">
        <v>20</v>
      </c>
      <c r="C7" s="3" t="n">
        <v>3</v>
      </c>
      <c r="D7" s="3" t="n">
        <v>3</v>
      </c>
      <c r="E7" s="3" t="n">
        <v>3</v>
      </c>
      <c r="F7" s="3" t="n">
        <v>2</v>
      </c>
      <c r="G7" s="3" t="n">
        <f aca="false">SUM(C7:F7)</f>
        <v>11</v>
      </c>
      <c r="H7" s="5" t="s">
        <v>11</v>
      </c>
      <c r="I7" s="4" t="s">
        <v>36</v>
      </c>
    </row>
    <row r="8" customFormat="false" ht="45.75" hidden="false" customHeight="true" outlineLevel="0" collapsed="false">
      <c r="A8" s="3" t="n">
        <v>6</v>
      </c>
      <c r="B8" s="4" t="s">
        <v>22</v>
      </c>
      <c r="C8" s="3" t="n">
        <v>1</v>
      </c>
      <c r="D8" s="3" t="n">
        <v>3</v>
      </c>
      <c r="E8" s="3" t="n">
        <v>1</v>
      </c>
      <c r="F8" s="3" t="n">
        <v>1</v>
      </c>
      <c r="G8" s="3" t="n">
        <f aca="false">SUM(C8:F8)</f>
        <v>6</v>
      </c>
      <c r="H8" s="7" t="s">
        <v>23</v>
      </c>
      <c r="I8" s="4" t="s">
        <v>37</v>
      </c>
    </row>
    <row r="9" customFormat="false" ht="45.75" hidden="false" customHeight="true" outlineLevel="0" collapsed="false">
      <c r="A9" s="3" t="n">
        <v>7</v>
      </c>
      <c r="B9" s="4" t="s">
        <v>25</v>
      </c>
      <c r="C9" s="3" t="n">
        <v>3</v>
      </c>
      <c r="D9" s="3" t="n">
        <v>3</v>
      </c>
      <c r="E9" s="3" t="n">
        <v>3</v>
      </c>
      <c r="F9" s="3" t="n">
        <v>3</v>
      </c>
      <c r="G9" s="3" t="n">
        <f aca="false">SUM(C9:F9)</f>
        <v>12</v>
      </c>
      <c r="H9" s="5" t="s">
        <v>11</v>
      </c>
      <c r="I9" s="4" t="s">
        <v>38</v>
      </c>
    </row>
    <row r="10" customFormat="false" ht="45.75" hidden="false" customHeight="true" outlineLevel="0" collapsed="false">
      <c r="A10" s="3" t="n">
        <v>8</v>
      </c>
      <c r="B10" s="4" t="s">
        <v>27</v>
      </c>
      <c r="C10" s="3" t="n">
        <v>3</v>
      </c>
      <c r="D10" s="3" t="n">
        <v>3</v>
      </c>
      <c r="E10" s="3" t="n">
        <v>1</v>
      </c>
      <c r="F10" s="3" t="n">
        <v>3</v>
      </c>
      <c r="G10" s="3" t="n">
        <f aca="false">SUM(C10:F10)</f>
        <v>10</v>
      </c>
      <c r="H10" s="7" t="s">
        <v>23</v>
      </c>
      <c r="I10" s="4" t="s">
        <v>39</v>
      </c>
    </row>
    <row r="11" customFormat="false" ht="26.85" hidden="false" customHeight="false" outlineLevel="0" collapsed="false">
      <c r="A11" s="8"/>
      <c r="B11" s="9" t="s">
        <v>29</v>
      </c>
      <c r="C11" s="8" t="n">
        <f aca="false">AVERAGE(C3:C10)</f>
        <v>2.5</v>
      </c>
      <c r="D11" s="8" t="n">
        <f aca="false">AVERAGE(D3:D10)</f>
        <v>3</v>
      </c>
      <c r="E11" s="8" t="n">
        <f aca="false">AVERAGE(E3:E10)</f>
        <v>2.375</v>
      </c>
      <c r="F11" s="8" t="n">
        <f aca="false">AVERAGE(F3:F10)</f>
        <v>2.125</v>
      </c>
      <c r="G11" s="8" t="n">
        <f aca="false">AVERAGE(G3:G10)</f>
        <v>10</v>
      </c>
      <c r="H11" s="8" t="str">
        <f aca="false">COUNTIF(H3:H10,"Aprovada*")&amp;" de 8"</f>
        <v>6 de 8</v>
      </c>
      <c r="I11" s="8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8"/>
    <col collapsed="false" customWidth="true" hidden="false" outlineLevel="0" max="8" min="8" style="0" width="13"/>
  </cols>
  <sheetData>
    <row r="1" customFormat="false" ht="24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</row>
    <row r="3" customFormat="false" ht="15" hidden="false" customHeight="false" outlineLevel="0" collapsed="false">
      <c r="A3" s="3" t="n">
        <v>1</v>
      </c>
      <c r="B3" s="4" t="s">
        <v>10</v>
      </c>
      <c r="C3" s="3" t="n">
        <f aca="false">'Avaliacao QA'!G3</f>
        <v>11</v>
      </c>
      <c r="D3" s="3" t="n">
        <f aca="false">'Avaliacao Claude'!G3</f>
        <v>10</v>
      </c>
      <c r="E3" s="3" t="n">
        <f aca="false">C3-D3</f>
        <v>1</v>
      </c>
      <c r="F3" s="3" t="s">
        <v>11</v>
      </c>
      <c r="G3" s="3" t="s">
        <v>11</v>
      </c>
      <c r="H3" s="5" t="s">
        <v>47</v>
      </c>
    </row>
    <row r="4" customFormat="false" ht="15" hidden="false" customHeight="false" outlineLevel="0" collapsed="false">
      <c r="A4" s="3" t="n">
        <v>2</v>
      </c>
      <c r="B4" s="4" t="s">
        <v>13</v>
      </c>
      <c r="C4" s="3" t="n">
        <f aca="false">'Avaliacao QA'!G4</f>
        <v>10</v>
      </c>
      <c r="D4" s="3" t="n">
        <f aca="false">'Avaliacao Claude'!G4</f>
        <v>9</v>
      </c>
      <c r="E4" s="3" t="n">
        <f aca="false">C4-D4</f>
        <v>1</v>
      </c>
      <c r="F4" s="3" t="s">
        <v>14</v>
      </c>
      <c r="G4" s="3" t="s">
        <v>14</v>
      </c>
      <c r="H4" s="5" t="s">
        <v>47</v>
      </c>
    </row>
    <row r="5" customFormat="false" ht="15" hidden="false" customHeight="false" outlineLevel="0" collapsed="false">
      <c r="A5" s="3" t="n">
        <v>3</v>
      </c>
      <c r="B5" s="4" t="s">
        <v>16</v>
      </c>
      <c r="C5" s="3" t="n">
        <f aca="false">'Avaliacao QA'!G5</f>
        <v>11</v>
      </c>
      <c r="D5" s="3" t="n">
        <f aca="false">'Avaliacao Claude'!G5</f>
        <v>11</v>
      </c>
      <c r="E5" s="3" t="n">
        <f aca="false">C5-D5</f>
        <v>0</v>
      </c>
      <c r="F5" s="3" t="s">
        <v>11</v>
      </c>
      <c r="G5" s="3" t="s">
        <v>11</v>
      </c>
      <c r="H5" s="5" t="s">
        <v>47</v>
      </c>
    </row>
    <row r="6" customFormat="false" ht="15" hidden="false" customHeight="false" outlineLevel="0" collapsed="false">
      <c r="A6" s="3" t="n">
        <v>4</v>
      </c>
      <c r="B6" s="4" t="s">
        <v>18</v>
      </c>
      <c r="C6" s="3" t="n">
        <f aca="false">'Avaliacao QA'!G6</f>
        <v>10</v>
      </c>
      <c r="D6" s="3" t="n">
        <f aca="false">'Avaliacao Claude'!G6</f>
        <v>11</v>
      </c>
      <c r="E6" s="3" t="n">
        <f aca="false">C6-D6</f>
        <v>-1</v>
      </c>
      <c r="F6" s="3" t="s">
        <v>11</v>
      </c>
      <c r="G6" s="3" t="s">
        <v>11</v>
      </c>
      <c r="H6" s="5" t="s">
        <v>47</v>
      </c>
    </row>
    <row r="7" customFormat="false" ht="15" hidden="false" customHeight="false" outlineLevel="0" collapsed="false">
      <c r="A7" s="3" t="n">
        <v>5</v>
      </c>
      <c r="B7" s="4" t="s">
        <v>20</v>
      </c>
      <c r="C7" s="3" t="n">
        <f aca="false">'Avaliacao QA'!G7</f>
        <v>11</v>
      </c>
      <c r="D7" s="3" t="n">
        <f aca="false">'Avaliacao Claude'!G7</f>
        <v>11</v>
      </c>
      <c r="E7" s="3" t="n">
        <f aca="false">C7-D7</f>
        <v>0</v>
      </c>
      <c r="F7" s="3" t="s">
        <v>11</v>
      </c>
      <c r="G7" s="3" t="s">
        <v>11</v>
      </c>
      <c r="H7" s="5" t="s">
        <v>47</v>
      </c>
    </row>
    <row r="8" customFormat="false" ht="15" hidden="false" customHeight="false" outlineLevel="0" collapsed="false">
      <c r="A8" s="3" t="n">
        <v>6</v>
      </c>
      <c r="B8" s="4" t="s">
        <v>22</v>
      </c>
      <c r="C8" s="3" t="n">
        <f aca="false">'Avaliacao QA'!G8</f>
        <v>7</v>
      </c>
      <c r="D8" s="3" t="n">
        <f aca="false">'Avaliacao Claude'!G8</f>
        <v>6</v>
      </c>
      <c r="E8" s="3" t="n">
        <f aca="false">C8-D8</f>
        <v>1</v>
      </c>
      <c r="F8" s="3" t="s">
        <v>23</v>
      </c>
      <c r="G8" s="3" t="s">
        <v>23</v>
      </c>
      <c r="H8" s="5" t="s">
        <v>47</v>
      </c>
    </row>
    <row r="9" customFormat="false" ht="15" hidden="false" customHeight="false" outlineLevel="0" collapsed="false">
      <c r="A9" s="3" t="n">
        <v>7</v>
      </c>
      <c r="B9" s="4" t="s">
        <v>25</v>
      </c>
      <c r="C9" s="3" t="n">
        <f aca="false">'Avaliacao QA'!G9</f>
        <v>12</v>
      </c>
      <c r="D9" s="3" t="n">
        <f aca="false">'Avaliacao Claude'!G9</f>
        <v>12</v>
      </c>
      <c r="E9" s="3" t="n">
        <f aca="false">C9-D9</f>
        <v>0</v>
      </c>
      <c r="F9" s="3" t="s">
        <v>11</v>
      </c>
      <c r="G9" s="3" t="s">
        <v>11</v>
      </c>
      <c r="H9" s="5" t="s">
        <v>47</v>
      </c>
    </row>
    <row r="10" customFormat="false" ht="15" hidden="false" customHeight="false" outlineLevel="0" collapsed="false">
      <c r="A10" s="3" t="n">
        <v>8</v>
      </c>
      <c r="B10" s="4" t="s">
        <v>27</v>
      </c>
      <c r="C10" s="3" t="n">
        <f aca="false">'Avaliacao QA'!G10</f>
        <v>9</v>
      </c>
      <c r="D10" s="3" t="n">
        <f aca="false">'Avaliacao Claude'!G10</f>
        <v>10</v>
      </c>
      <c r="E10" s="3" t="n">
        <f aca="false">C10-D10</f>
        <v>-1</v>
      </c>
      <c r="F10" s="3" t="s">
        <v>23</v>
      </c>
      <c r="G10" s="3" t="s">
        <v>23</v>
      </c>
      <c r="H10" s="5" t="s">
        <v>47</v>
      </c>
    </row>
    <row r="11" customFormat="false" ht="39.55" hidden="false" customHeight="false" outlineLevel="0" collapsed="false">
      <c r="A11" s="8"/>
      <c r="B11" s="9" t="s">
        <v>48</v>
      </c>
      <c r="C11" s="8" t="n">
        <f aca="false">AVERAGE(C3:C10)</f>
        <v>10.125</v>
      </c>
      <c r="D11" s="8" t="n">
        <f aca="false">AVERAGE(D3:D10)</f>
        <v>10</v>
      </c>
      <c r="E11" s="8" t="n">
        <f aca="false">AVERAGE(E3:E10)</f>
        <v>0.125</v>
      </c>
      <c r="F11" s="8"/>
      <c r="G11" s="8"/>
      <c r="H11" s="8" t="str">
        <f aca="false">COUNTIF(H3:H10,"Sim")&amp;" de 8"</f>
        <v>8 de 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34"/>
  </cols>
  <sheetData>
    <row r="1" customFormat="false" ht="15" hidden="false" customHeight="true" outlineLevel="0" collapsed="false">
      <c r="A1" s="1" t="s">
        <v>49</v>
      </c>
      <c r="B1" s="1"/>
      <c r="C1" s="1"/>
      <c r="D1" s="1"/>
    </row>
    <row r="2" customFormat="false" ht="15" hidden="false" customHeight="false" outlineLevel="0" collapsed="false">
      <c r="A2" s="2" t="s">
        <v>50</v>
      </c>
      <c r="B2" s="2" t="s">
        <v>51</v>
      </c>
      <c r="C2" s="2" t="s">
        <v>52</v>
      </c>
      <c r="D2" s="2" t="s">
        <v>53</v>
      </c>
    </row>
    <row r="3" customFormat="false" ht="43.5" hidden="false" customHeight="true" outlineLevel="0" collapsed="false">
      <c r="A3" s="10" t="s">
        <v>54</v>
      </c>
      <c r="B3" s="4" t="s">
        <v>55</v>
      </c>
      <c r="C3" s="4" t="s">
        <v>56</v>
      </c>
      <c r="D3" s="4" t="s">
        <v>57</v>
      </c>
    </row>
    <row r="4" customFormat="false" ht="43.5" hidden="false" customHeight="true" outlineLevel="0" collapsed="false">
      <c r="A4" s="10" t="s">
        <v>58</v>
      </c>
      <c r="B4" s="4" t="s">
        <v>59</v>
      </c>
      <c r="C4" s="4" t="s">
        <v>60</v>
      </c>
      <c r="D4" s="4" t="s">
        <v>61</v>
      </c>
    </row>
    <row r="5" customFormat="false" ht="43.5" hidden="false" customHeight="true" outlineLevel="0" collapsed="false">
      <c r="A5" s="10" t="s">
        <v>62</v>
      </c>
      <c r="B5" s="4" t="s">
        <v>63</v>
      </c>
      <c r="C5" s="4" t="s">
        <v>64</v>
      </c>
      <c r="D5" s="4" t="s">
        <v>65</v>
      </c>
    </row>
    <row r="6" customFormat="false" ht="43.5" hidden="false" customHeight="true" outlineLevel="0" collapsed="false">
      <c r="A6" s="10" t="s">
        <v>6</v>
      </c>
      <c r="B6" s="4" t="s">
        <v>66</v>
      </c>
      <c r="C6" s="4" t="s">
        <v>67</v>
      </c>
      <c r="D6" s="4" t="s">
        <v>68</v>
      </c>
    </row>
    <row r="8" customFormat="false" ht="15" hidden="false" customHeight="false" outlineLevel="0" collapsed="false">
      <c r="A8" s="11" t="s">
        <v>69</v>
      </c>
    </row>
    <row r="9" customFormat="false" ht="15" hidden="false" customHeight="true" outlineLevel="0" collapsed="false">
      <c r="A9" s="12" t="s">
        <v>70</v>
      </c>
      <c r="B9" s="12"/>
      <c r="C9" s="12"/>
      <c r="D9" s="12"/>
    </row>
    <row r="10" customFormat="false" ht="15" hidden="false" customHeight="true" outlineLevel="0" collapsed="false">
      <c r="A10" s="12" t="s">
        <v>71</v>
      </c>
      <c r="B10" s="12"/>
      <c r="C10" s="12"/>
      <c r="D10" s="12"/>
    </row>
  </sheetData>
  <mergeCells count="3">
    <mergeCell ref="A1:D1"/>
    <mergeCell ref="A9:D9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2026-06-30T02:08:42Z</dcterms:created>
  <dc:creator>openpyxl</dc:creator>
  <dc:description/>
  <dc:language>en-US</dc:language>
  <cp:lastModifiedBy/>
  <dcterms:modified xsi:type="dcterms:W3CDTF">2026-06-30T02:08:42Z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