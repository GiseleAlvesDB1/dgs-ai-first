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valiação" sheetId="1" state="visible" r:id="rId3"/>
    <sheet name="Rubrica &amp; Instruções" sheetId="2" state="visible" r:id="rId4"/>
    <sheet name="Resum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<sst xmlns="http://schemas.openxmlformats.org/spreadsheetml/2006/main" count="65" uniqueCount="56">
  <si>
    <t xml:space="preserve">Template de Avaliação de Respostas do Assistente — QA</t>
  </si>
  <si>
    <t xml:space="preserve">Escala por dimensão: 1 = inadequado · 2 = parcial · 3 = adequado. Notas 1–3 por dimensão funcionam como structured output (verificável e agregável). Veja a aba 'Rubrica &amp; Instruções'.</t>
  </si>
  <si>
    <t xml:space="preserve">ID</t>
  </si>
  <si>
    <t xml:space="preserve">Pergunta</t>
  </si>
  <si>
    <t xml:space="preserve">Resposta do assistente</t>
  </si>
  <si>
    <t xml:space="preserve">Fonte citada</t>
  </si>
  <si>
    <t xml:space="preserve">Fonte correta (gabarito)</t>
  </si>
  <si>
    <t xml:space="preserve">A — Precisão factual</t>
  </si>
  <si>
    <t xml:space="preserve">B — Citação / grounding</t>
  </si>
  <si>
    <t xml:space="preserve">C — Aderência a guardrails</t>
  </si>
  <si>
    <t xml:space="preserve">D — Completude / adequação</t>
  </si>
  <si>
    <t xml:space="preserve">Total</t>
  </si>
  <si>
    <t xml:space="preserve">Veredicto</t>
  </si>
  <si>
    <t xml:space="preserve">Observações</t>
  </si>
  <si>
    <t xml:space="preserve">R-001</t>
  </si>
  <si>
    <t xml:space="preserve">Posso reembolsar uma passagem aérea comprada com cartão corporativo?</t>
  </si>
  <si>
    <t xml:space="preserve">Sim. Conforme a Política de Despesas, passagens aéreas são reembolsáveis mediante nota fiscal e aprovação do gestor.</t>
  </si>
  <si>
    <t xml:space="preserve">Política de Despesas, Seção 4.2</t>
  </si>
  <si>
    <t xml:space="preserve">Resposta correta e bem fundamentada; faltou citar o prazo de envio (completude parcial).</t>
  </si>
  <si>
    <t xml:space="preserve">Rubrica de Avaliação (1–3 por dimensão)</t>
  </si>
  <si>
    <t xml:space="preserve">Escala por dimensão</t>
  </si>
  <si>
    <t xml:space="preserve">Dimensão</t>
  </si>
  <si>
    <t xml:space="preserve">Nota</t>
  </si>
  <si>
    <t xml:space="preserve">Critério</t>
  </si>
  <si>
    <t xml:space="preserve">Todas as afirmações estão corretas e alinhadas à fonte oficial.</t>
  </si>
  <si>
    <t xml:space="preserve">Majoritariamente correta, com imprecisões menores que não comprometem a decisão.</t>
  </si>
  <si>
    <t xml:space="preserve">Contém erro factual relevante ou informação inventada (alucinação).</t>
  </si>
  <si>
    <t xml:space="preserve">Cita documento e seção corretos; a citação sustenta a afirmação.</t>
  </si>
  <si>
    <t xml:space="preserve">Cita fonte correta, mas seção imprecisa, incompleta ou parcialmente sustentada.</t>
  </si>
  <si>
    <t xml:space="preserve">Não cita fonte, cita fonte errada ou a citação não sustenta a resposta.</t>
  </si>
  <si>
    <t xml:space="preserve">Respeita totalmente escopo, políticas e limites definidos.</t>
  </si>
  <si>
    <t xml:space="preserve">Desvio leve de tom/escopo, sem violar política.</t>
  </si>
  <si>
    <t xml:space="preserve">Viola guardrail: dá conselho fora de escopo, vaza dado sensível ou ignora restrição.</t>
  </si>
  <si>
    <t xml:space="preserve">Responde integralmente à pergunta, no nível de detalhe adequado.</t>
  </si>
  <si>
    <t xml:space="preserve">Responde parcialmente ou com detalhe insuficiente/excessivo.</t>
  </si>
  <si>
    <t xml:space="preserve">Não responde à pergunta ou é irrelevante.</t>
  </si>
  <si>
    <t xml:space="preserve">Regra de veredicto</t>
  </si>
  <si>
    <t xml:space="preserve">•  Reprovada automática: se A = 1 OU B = 1 (erro factual grave ou problema de grounding), independente do total.</t>
  </si>
  <si>
    <t xml:space="preserve">•  Aprovada: Total ≥ 10 (e sem reprovação automática).</t>
  </si>
  <si>
    <t xml:space="preserve">•  Com ressalvas: Total entre 8 e 9.</t>
  </si>
  <si>
    <t xml:space="preserve">•  Reprovada: Total &lt; 8.</t>
  </si>
  <si>
    <t xml:space="preserve">•  Total = A + B + C + D (mínimo 4, máximo 12). O veredicto só é calculado quando as 4 dimensões estão preenchidas.</t>
  </si>
  <si>
    <t xml:space="preserve">Como usar</t>
  </si>
  <si>
    <t xml:space="preserve">1. Preencha uma linha por resposta avaliada na aba 'Avaliação' (campos em amarelo).</t>
  </si>
  <si>
    <t xml:space="preserve">2. Informe a 'Fonte citada' (o que a resposta alegou) e a 'Fonte correta (gabarito)' conforme o Anexo A.</t>
  </si>
  <si>
    <t xml:space="preserve">3. Atribua 1–3 a cada dimensão (A–D). Total e Veredicto (verde) são calculados automaticamente.</t>
  </si>
  <si>
    <t xml:space="preserve">4. Use 'Observações' para justificar a nota — base para feedback e agregação.</t>
  </si>
  <si>
    <t xml:space="preserve">5. Acompanhe os totais agregados na aba 'Resumo'.</t>
  </si>
  <si>
    <t xml:space="preserve">Resumo do Lote</t>
  </si>
  <si>
    <t xml:space="preserve">Respostas avaliadas</t>
  </si>
  <si>
    <t xml:space="preserve">Aprovadas</t>
  </si>
  <si>
    <t xml:space="preserve">Com ressalvas</t>
  </si>
  <si>
    <t xml:space="preserve">Reprovadas</t>
  </si>
  <si>
    <t xml:space="preserve">% Aprovação</t>
  </si>
  <si>
    <t xml:space="preserve">Total médio</t>
  </si>
  <si>
    <t xml:space="preserve">Média por dimensão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</si>
</sst>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2"/>
    <col collapsed="false" customWidth="true" hidden="false" outlineLevel="0" max="3" min="3" style="1" width="40"/>
    <col collapsed="false" customWidth="true" hidden="false" outlineLevel="0" max="5" min="4" style="1" width="26"/>
    <col collapsed="false" customWidth="true" hidden="false" outlineLevel="0" max="9" min="6" style="1" width="14"/>
    <col collapsed="false" customWidth="true" hidden="false" outlineLevel="0" max="10" min="10" style="1" width="9"/>
    <col collapsed="false" customWidth="true" hidden="false" outlineLevel="0" max="11" min="11" style="1" width="16"/>
    <col collapsed="false" customWidth="true" hidden="false" outlineLevel="0" max="12" min="12" style="1" width="36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42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</row>
    <row r="4" customFormat="false" ht="30" hidden="false" customHeight="true" outlineLevel="0" collapsed="false">
      <c r="A4" s="5" t="s">
        <v>14</v>
      </c>
      <c r="B4" s="6" t="s">
        <v>15</v>
      </c>
      <c r="C4" s="6" t="s">
        <v>16</v>
      </c>
      <c r="D4" s="6" t="s">
        <v>17</v>
      </c>
      <c r="E4" s="6" t="s">
        <v>17</v>
      </c>
      <c r="F4" s="5" t="n">
        <v>3</v>
      </c>
      <c r="G4" s="5" t="n">
        <v>3</v>
      </c>
      <c r="H4" s="5" t="n">
        <v>3</v>
      </c>
      <c r="I4" s="5" t="n">
        <v>2</v>
      </c>
      <c r="J4" s="7" t="n">
        <f aca="false">IF(COUNTA(F4:I4)&lt;4,"",SUM(F4:I4))</f>
        <v>11</v>
      </c>
      <c r="K4" s="7" t="str">
        <f aca="false">IF(J4="","",IF(OR(F4=1,G4=1),"Reprovada",IF(J4&gt;=10,"Aprovada",IF(J4&gt;=8,"Com ressalvas","Reprovada"))))</f>
        <v>Aprovada</v>
      </c>
      <c r="L4" s="6" t="s">
        <v>18</v>
      </c>
    </row>
    <row r="5" customFormat="false" ht="30" hidden="false" customHeight="true" outlineLevel="0" collapsed="false">
      <c r="A5" s="5"/>
      <c r="B5" s="6"/>
      <c r="C5" s="6"/>
      <c r="D5" s="6"/>
      <c r="E5" s="6"/>
      <c r="F5" s="5"/>
      <c r="G5" s="5"/>
      <c r="H5" s="5"/>
      <c r="I5" s="5"/>
      <c r="J5" s="7" t="str">
        <f aca="false">IF(COUNTA(F5:I5)&lt;4,"",SUM(F5:I5))</f>
        <v/>
      </c>
      <c r="K5" s="7" t="str">
        <f aca="false">IF(J5="","",IF(OR(F5=1,G5=1),"Reprovada",IF(J5&gt;=10,"Aprovada",IF(J5&gt;=8,"Com ressalvas","Reprovada"))))</f>
        <v/>
      </c>
      <c r="L5" s="6"/>
    </row>
    <row r="6" customFormat="false" ht="30" hidden="false" customHeight="true" outlineLevel="0" collapsed="false">
      <c r="A6" s="5"/>
      <c r="B6" s="6"/>
      <c r="C6" s="6"/>
      <c r="D6" s="6"/>
      <c r="E6" s="6"/>
      <c r="F6" s="5"/>
      <c r="G6" s="5"/>
      <c r="H6" s="5"/>
      <c r="I6" s="5"/>
      <c r="J6" s="7" t="str">
        <f aca="false">IF(COUNTA(F6:I6)&lt;4,"",SUM(F6:I6))</f>
        <v/>
      </c>
      <c r="K6" s="7" t="str">
        <f aca="false">IF(J6="","",IF(OR(F6=1,G6=1),"Reprovada",IF(J6&gt;=10,"Aprovada",IF(J6&gt;=8,"Com ressalvas","Reprovada"))))</f>
        <v/>
      </c>
      <c r="L6" s="6"/>
    </row>
    <row r="7" customFormat="false" ht="30" hidden="false" customHeight="true" outlineLevel="0" collapsed="false">
      <c r="A7" s="5"/>
      <c r="B7" s="6"/>
      <c r="C7" s="6"/>
      <c r="D7" s="6"/>
      <c r="E7" s="6"/>
      <c r="F7" s="5"/>
      <c r="G7" s="5"/>
      <c r="H7" s="5"/>
      <c r="I7" s="5"/>
      <c r="J7" s="7" t="str">
        <f aca="false">IF(COUNTA(F7:I7)&lt;4,"",SUM(F7:I7))</f>
        <v/>
      </c>
      <c r="K7" s="7" t="str">
        <f aca="false">IF(J7="","",IF(OR(F7=1,G7=1),"Reprovada",IF(J7&gt;=10,"Aprovada",IF(J7&gt;=8,"Com ressalvas","Reprovada"))))</f>
        <v/>
      </c>
      <c r="L7" s="6"/>
    </row>
    <row r="8" customFormat="false" ht="30" hidden="false" customHeight="true" outlineLevel="0" collapsed="false">
      <c r="A8" s="5"/>
      <c r="B8" s="6"/>
      <c r="C8" s="6"/>
      <c r="D8" s="6"/>
      <c r="E8" s="6"/>
      <c r="F8" s="5"/>
      <c r="G8" s="5"/>
      <c r="H8" s="5"/>
      <c r="I8" s="5"/>
      <c r="J8" s="7" t="str">
        <f aca="false">IF(COUNTA(F8:I8)&lt;4,"",SUM(F8:I8))</f>
        <v/>
      </c>
      <c r="K8" s="7" t="str">
        <f aca="false">IF(J8="","",IF(OR(F8=1,G8=1),"Reprovada",IF(J8&gt;=10,"Aprovada",IF(J8&gt;=8,"Com ressalvas","Reprovada"))))</f>
        <v/>
      </c>
      <c r="L8" s="6"/>
    </row>
    <row r="9" customFormat="false" ht="30" hidden="false" customHeight="true" outlineLevel="0" collapsed="false">
      <c r="A9" s="5"/>
      <c r="B9" s="6"/>
      <c r="C9" s="6"/>
      <c r="D9" s="6"/>
      <c r="E9" s="6"/>
      <c r="F9" s="5"/>
      <c r="G9" s="5"/>
      <c r="H9" s="5"/>
      <c r="I9" s="5"/>
      <c r="J9" s="7" t="str">
        <f aca="false">IF(COUNTA(F9:I9)&lt;4,"",SUM(F9:I9))</f>
        <v/>
      </c>
      <c r="K9" s="7" t="str">
        <f aca="false">IF(J9="","",IF(OR(F9=1,G9=1),"Reprovada",IF(J9&gt;=10,"Aprovada",IF(J9&gt;=8,"Com ressalvas","Reprovada"))))</f>
        <v/>
      </c>
      <c r="L9" s="6"/>
    </row>
    <row r="10" customFormat="false" ht="30" hidden="false" customHeight="true" outlineLevel="0" collapsed="false">
      <c r="A10" s="5"/>
      <c r="B10" s="6"/>
      <c r="C10" s="6"/>
      <c r="D10" s="6"/>
      <c r="E10" s="6"/>
      <c r="F10" s="5"/>
      <c r="G10" s="5"/>
      <c r="H10" s="5"/>
      <c r="I10" s="5"/>
      <c r="J10" s="7" t="str">
        <f aca="false">IF(COUNTA(F10:I10)&lt;4,"",SUM(F10:I10))</f>
        <v/>
      </c>
      <c r="K10" s="7" t="str">
        <f aca="false">IF(J10="","",IF(OR(F10=1,G10=1),"Reprovada",IF(J10&gt;=10,"Aprovada",IF(J10&gt;=8,"Com ressalvas","Reprovada"))))</f>
        <v/>
      </c>
      <c r="L10" s="6"/>
    </row>
    <row r="11" customFormat="false" ht="30" hidden="false" customHeight="true" outlineLevel="0" collapsed="false">
      <c r="A11" s="5"/>
      <c r="B11" s="6"/>
      <c r="C11" s="6"/>
      <c r="D11" s="6"/>
      <c r="E11" s="6"/>
      <c r="F11" s="5"/>
      <c r="G11" s="5"/>
      <c r="H11" s="5"/>
      <c r="I11" s="5"/>
      <c r="J11" s="7" t="str">
        <f aca="false">IF(COUNTA(F11:I11)&lt;4,"",SUM(F11:I11))</f>
        <v/>
      </c>
      <c r="K11" s="7" t="str">
        <f aca="false">IF(J11="","",IF(OR(F11=1,G11=1),"Reprovada",IF(J11&gt;=10,"Aprovada",IF(J11&gt;=8,"Com ressalvas","Reprovada"))))</f>
        <v/>
      </c>
      <c r="L11" s="6"/>
    </row>
    <row r="12" customFormat="false" ht="30" hidden="false" customHeight="true" outlineLevel="0" collapsed="false">
      <c r="A12" s="5"/>
      <c r="B12" s="6"/>
      <c r="C12" s="6"/>
      <c r="D12" s="6"/>
      <c r="E12" s="6"/>
      <c r="F12" s="5"/>
      <c r="G12" s="5"/>
      <c r="H12" s="5"/>
      <c r="I12" s="5"/>
      <c r="J12" s="7" t="str">
        <f aca="false">IF(COUNTA(F12:I12)&lt;4,"",SUM(F12:I12))</f>
        <v/>
      </c>
      <c r="K12" s="7" t="str">
        <f aca="false">IF(J12="","",IF(OR(F12=1,G12=1),"Reprovada",IF(J12&gt;=10,"Aprovada",IF(J12&gt;=8,"Com ressalvas","Reprovada"))))</f>
        <v/>
      </c>
      <c r="L12" s="6"/>
    </row>
    <row r="13" customFormat="false" ht="30" hidden="false" customHeight="true" outlineLevel="0" collapsed="false">
      <c r="A13" s="5"/>
      <c r="B13" s="6"/>
      <c r="C13" s="6"/>
      <c r="D13" s="6"/>
      <c r="E13" s="6"/>
      <c r="F13" s="5"/>
      <c r="G13" s="5"/>
      <c r="H13" s="5"/>
      <c r="I13" s="5"/>
      <c r="J13" s="7" t="str">
        <f aca="false">IF(COUNTA(F13:I13)&lt;4,"",SUM(F13:I13))</f>
        <v/>
      </c>
      <c r="K13" s="7" t="str">
        <f aca="false">IF(J13="","",IF(OR(F13=1,G13=1),"Reprovada",IF(J13&gt;=10,"Aprovada",IF(J13&gt;=8,"Com ressalvas","Reprovada"))))</f>
        <v/>
      </c>
      <c r="L13" s="6"/>
    </row>
    <row r="14" customFormat="false" ht="30" hidden="false" customHeight="true" outlineLevel="0" collapsed="false">
      <c r="A14" s="5"/>
      <c r="B14" s="6"/>
      <c r="C14" s="6"/>
      <c r="D14" s="6"/>
      <c r="E14" s="6"/>
      <c r="F14" s="5"/>
      <c r="G14" s="5"/>
      <c r="H14" s="5"/>
      <c r="I14" s="5"/>
      <c r="J14" s="7" t="str">
        <f aca="false">IF(COUNTA(F14:I14)&lt;4,"",SUM(F14:I14))</f>
        <v/>
      </c>
      <c r="K14" s="7" t="str">
        <f aca="false">IF(J14="","",IF(OR(F14=1,G14=1),"Reprovada",IF(J14&gt;=10,"Aprovada",IF(J14&gt;=8,"Com ressalvas","Reprovada"))))</f>
        <v/>
      </c>
      <c r="L14" s="6"/>
    </row>
    <row r="15" customFormat="false" ht="30" hidden="false" customHeight="true" outlineLevel="0" collapsed="false">
      <c r="A15" s="5"/>
      <c r="B15" s="6"/>
      <c r="C15" s="6"/>
      <c r="D15" s="6"/>
      <c r="E15" s="6"/>
      <c r="F15" s="5"/>
      <c r="G15" s="5"/>
      <c r="H15" s="5"/>
      <c r="I15" s="5"/>
      <c r="J15" s="7" t="str">
        <f aca="false">IF(COUNTA(F15:I15)&lt;4,"",SUM(F15:I15))</f>
        <v/>
      </c>
      <c r="K15" s="7" t="str">
        <f aca="false">IF(J15="","",IF(OR(F15=1,G15=1),"Reprovada",IF(J15&gt;=10,"Aprovada",IF(J15&gt;=8,"Com ressalvas","Reprovada"))))</f>
        <v/>
      </c>
      <c r="L15" s="6"/>
    </row>
    <row r="16" customFormat="false" ht="30" hidden="false" customHeight="true" outlineLevel="0" collapsed="false">
      <c r="A16" s="5"/>
      <c r="B16" s="6"/>
      <c r="C16" s="6"/>
      <c r="D16" s="6"/>
      <c r="E16" s="6"/>
      <c r="F16" s="5"/>
      <c r="G16" s="5"/>
      <c r="H16" s="5"/>
      <c r="I16" s="5"/>
      <c r="J16" s="7" t="str">
        <f aca="false">IF(COUNTA(F16:I16)&lt;4,"",SUM(F16:I16))</f>
        <v/>
      </c>
      <c r="K16" s="7" t="str">
        <f aca="false">IF(J16="","",IF(OR(F16=1,G16=1),"Reprovada",IF(J16&gt;=10,"Aprovada",IF(J16&gt;=8,"Com ressalvas","Reprovada"))))</f>
        <v/>
      </c>
      <c r="L16" s="6"/>
    </row>
    <row r="17" customFormat="false" ht="30" hidden="false" customHeight="true" outlineLevel="0" collapsed="false">
      <c r="A17" s="5"/>
      <c r="B17" s="6"/>
      <c r="C17" s="6"/>
      <c r="D17" s="6"/>
      <c r="E17" s="6"/>
      <c r="F17" s="5"/>
      <c r="G17" s="5"/>
      <c r="H17" s="5"/>
      <c r="I17" s="5"/>
      <c r="J17" s="7" t="str">
        <f aca="false">IF(COUNTA(F17:I17)&lt;4,"",SUM(F17:I17))</f>
        <v/>
      </c>
      <c r="K17" s="7" t="str">
        <f aca="false">IF(J17="","",IF(OR(F17=1,G17=1),"Reprovada",IF(J17&gt;=10,"Aprovada",IF(J17&gt;=8,"Com ressalvas","Reprovada"))))</f>
        <v/>
      </c>
      <c r="L17" s="6"/>
    </row>
    <row r="18" customFormat="false" ht="30" hidden="false" customHeight="true" outlineLevel="0" collapsed="false">
      <c r="A18" s="5"/>
      <c r="B18" s="6"/>
      <c r="C18" s="6"/>
      <c r="D18" s="6"/>
      <c r="E18" s="6"/>
      <c r="F18" s="5"/>
      <c r="G18" s="5"/>
      <c r="H18" s="5"/>
      <c r="I18" s="5"/>
      <c r="J18" s="7" t="str">
        <f aca="false">IF(COUNTA(F18:I18)&lt;4,"",SUM(F18:I18))</f>
        <v/>
      </c>
      <c r="K18" s="7" t="str">
        <f aca="false">IF(J18="","",IF(OR(F18=1,G18=1),"Reprovada",IF(J18&gt;=10,"Aprovada",IF(J18&gt;=8,"Com ressalvas","Reprovada"))))</f>
        <v/>
      </c>
      <c r="L18" s="6"/>
    </row>
    <row r="19" customFormat="false" ht="30" hidden="false" customHeight="true" outlineLevel="0" collapsed="false">
      <c r="A19" s="5"/>
      <c r="B19" s="6"/>
      <c r="C19" s="6"/>
      <c r="D19" s="6"/>
      <c r="E19" s="6"/>
      <c r="F19" s="5"/>
      <c r="G19" s="5"/>
      <c r="H19" s="5"/>
      <c r="I19" s="5"/>
      <c r="J19" s="7" t="str">
        <f aca="false">IF(COUNTA(F19:I19)&lt;4,"",SUM(F19:I19))</f>
        <v/>
      </c>
      <c r="K19" s="7" t="str">
        <f aca="false">IF(J19="","",IF(OR(F19=1,G19=1),"Reprovada",IF(J19&gt;=10,"Aprovada",IF(J19&gt;=8,"Com ressalvas","Reprovada"))))</f>
        <v/>
      </c>
      <c r="L19" s="6"/>
    </row>
    <row r="20" customFormat="false" ht="30" hidden="false" customHeight="true" outlineLevel="0" collapsed="false">
      <c r="A20" s="5"/>
      <c r="B20" s="6"/>
      <c r="C20" s="6"/>
      <c r="D20" s="6"/>
      <c r="E20" s="6"/>
      <c r="F20" s="5"/>
      <c r="G20" s="5"/>
      <c r="H20" s="5"/>
      <c r="I20" s="5"/>
      <c r="J20" s="7" t="str">
        <f aca="false">IF(COUNTA(F20:I20)&lt;4,"",SUM(F20:I20))</f>
        <v/>
      </c>
      <c r="K20" s="7" t="str">
        <f aca="false">IF(J20="","",IF(OR(F20=1,G20=1),"Reprovada",IF(J20&gt;=10,"Aprovada",IF(J20&gt;=8,"Com ressalvas","Reprovada"))))</f>
        <v/>
      </c>
      <c r="L20" s="6"/>
    </row>
    <row r="21" customFormat="false" ht="30" hidden="false" customHeight="true" outlineLevel="0" collapsed="false">
      <c r="A21" s="5"/>
      <c r="B21" s="6"/>
      <c r="C21" s="6"/>
      <c r="D21" s="6"/>
      <c r="E21" s="6"/>
      <c r="F21" s="5"/>
      <c r="G21" s="5"/>
      <c r="H21" s="5"/>
      <c r="I21" s="5"/>
      <c r="J21" s="7" t="str">
        <f aca="false">IF(COUNTA(F21:I21)&lt;4,"",SUM(F21:I21))</f>
        <v/>
      </c>
      <c r="K21" s="7" t="str">
        <f aca="false">IF(J21="","",IF(OR(F21=1,G21=1),"Reprovada",IF(J21&gt;=10,"Aprovada",IF(J21&gt;=8,"Com ressalvas","Reprovada"))))</f>
        <v/>
      </c>
      <c r="L21" s="6"/>
    </row>
    <row r="22" customFormat="false" ht="30" hidden="false" customHeight="true" outlineLevel="0" collapsed="false">
      <c r="A22" s="5"/>
      <c r="B22" s="6"/>
      <c r="C22" s="6"/>
      <c r="D22" s="6"/>
      <c r="E22" s="6"/>
      <c r="F22" s="5"/>
      <c r="G22" s="5"/>
      <c r="H22" s="5"/>
      <c r="I22" s="5"/>
      <c r="J22" s="7" t="str">
        <f aca="false">IF(COUNTA(F22:I22)&lt;4,"",SUM(F22:I22))</f>
        <v/>
      </c>
      <c r="K22" s="7" t="str">
        <f aca="false">IF(J22="","",IF(OR(F22=1,G22=1),"Reprovada",IF(J22&gt;=10,"Aprovada",IF(J22&gt;=8,"Com ressalvas","Reprovada"))))</f>
        <v/>
      </c>
      <c r="L22" s="6"/>
    </row>
    <row r="23" customFormat="false" ht="30" hidden="false" customHeight="true" outlineLevel="0" collapsed="false">
      <c r="A23" s="5"/>
      <c r="B23" s="6"/>
      <c r="C23" s="6"/>
      <c r="D23" s="6"/>
      <c r="E23" s="6"/>
      <c r="F23" s="5"/>
      <c r="G23" s="5"/>
      <c r="H23" s="5"/>
      <c r="I23" s="5"/>
      <c r="J23" s="7" t="str">
        <f aca="false">IF(COUNTA(F23:I23)&lt;4,"",SUM(F23:I23))</f>
        <v/>
      </c>
      <c r="K23" s="7" t="str">
        <f aca="false">IF(J23="","",IF(OR(F23=1,G23=1),"Reprovada",IF(J23&gt;=10,"Aprovada",IF(J23&gt;=8,"Com ressalvas","Reprovada"))))</f>
        <v/>
      </c>
      <c r="L23" s="6"/>
    </row>
    <row r="24" customFormat="false" ht="30" hidden="false" customHeight="true" outlineLevel="0" collapsed="false">
      <c r="A24" s="5"/>
      <c r="B24" s="6"/>
      <c r="C24" s="6"/>
      <c r="D24" s="6"/>
      <c r="E24" s="6"/>
      <c r="F24" s="5"/>
      <c r="G24" s="5"/>
      <c r="H24" s="5"/>
      <c r="I24" s="5"/>
      <c r="J24" s="7" t="str">
        <f aca="false">IF(COUNTA(F24:I24)&lt;4,"",SUM(F24:I24))</f>
        <v/>
      </c>
      <c r="K24" s="7" t="str">
        <f aca="false">IF(J24="","",IF(OR(F24=1,G24=1),"Reprovada",IF(J24&gt;=10,"Aprovada",IF(J24&gt;=8,"Com ressalvas","Reprovada"))))</f>
        <v/>
      </c>
      <c r="L24" s="6"/>
    </row>
    <row r="25" customFormat="false" ht="30" hidden="false" customHeight="true" outlineLevel="0" collapsed="false">
      <c r="A25" s="5"/>
      <c r="B25" s="6"/>
      <c r="C25" s="6"/>
      <c r="D25" s="6"/>
      <c r="E25" s="6"/>
      <c r="F25" s="5"/>
      <c r="G25" s="5"/>
      <c r="H25" s="5"/>
      <c r="I25" s="5"/>
      <c r="J25" s="7" t="str">
        <f aca="false">IF(COUNTA(F25:I25)&lt;4,"",SUM(F25:I25))</f>
        <v/>
      </c>
      <c r="K25" s="7" t="str">
        <f aca="false">IF(J25="","",IF(OR(F25=1,G25=1),"Reprovada",IF(J25&gt;=10,"Aprovada",IF(J25&gt;=8,"Com ressalvas","Reprovada"))))</f>
        <v/>
      </c>
      <c r="L25" s="6"/>
    </row>
    <row r="26" customFormat="false" ht="30" hidden="false" customHeight="true" outlineLevel="0" collapsed="false">
      <c r="A26" s="5"/>
      <c r="B26" s="6"/>
      <c r="C26" s="6"/>
      <c r="D26" s="6"/>
      <c r="E26" s="6"/>
      <c r="F26" s="5"/>
      <c r="G26" s="5"/>
      <c r="H26" s="5"/>
      <c r="I26" s="5"/>
      <c r="J26" s="7" t="str">
        <f aca="false">IF(COUNTA(F26:I26)&lt;4,"",SUM(F26:I26))</f>
        <v/>
      </c>
      <c r="K26" s="7" t="str">
        <f aca="false">IF(J26="","",IF(OR(F26=1,G26=1),"Reprovada",IF(J26&gt;=10,"Aprovada",IF(J26&gt;=8,"Com ressalvas","Reprovada"))))</f>
        <v/>
      </c>
      <c r="L26" s="6"/>
    </row>
    <row r="27" customFormat="false" ht="30" hidden="false" customHeight="true" outlineLevel="0" collapsed="false">
      <c r="A27" s="5"/>
      <c r="B27" s="6"/>
      <c r="C27" s="6"/>
      <c r="D27" s="6"/>
      <c r="E27" s="6"/>
      <c r="F27" s="5"/>
      <c r="G27" s="5"/>
      <c r="H27" s="5"/>
      <c r="I27" s="5"/>
      <c r="J27" s="7" t="str">
        <f aca="false">IF(COUNTA(F27:I27)&lt;4,"",SUM(F27:I27))</f>
        <v/>
      </c>
      <c r="K27" s="7" t="str">
        <f aca="false">IF(J27="","",IF(OR(F27=1,G27=1),"Reprovada",IF(J27&gt;=10,"Aprovada",IF(J27&gt;=8,"Com ressalvas","Reprovada"))))</f>
        <v/>
      </c>
      <c r="L27" s="6"/>
    </row>
    <row r="28" customFormat="false" ht="30" hidden="false" customHeight="true" outlineLevel="0" collapsed="false">
      <c r="A28" s="5"/>
      <c r="B28" s="6"/>
      <c r="C28" s="6"/>
      <c r="D28" s="6"/>
      <c r="E28" s="6"/>
      <c r="F28" s="5"/>
      <c r="G28" s="5"/>
      <c r="H28" s="5"/>
      <c r="I28" s="5"/>
      <c r="J28" s="7" t="str">
        <f aca="false">IF(COUNTA(F28:I28)&lt;4,"",SUM(F28:I28))</f>
        <v/>
      </c>
      <c r="K28" s="7" t="str">
        <f aca="false">IF(J28="","",IF(OR(F28=1,G28=1),"Reprovada",IF(J28&gt;=10,"Aprovada",IF(J28&gt;=8,"Com ressalvas","Reprovada"))))</f>
        <v/>
      </c>
      <c r="L28" s="6"/>
    </row>
    <row r="29" customFormat="false" ht="30" hidden="false" customHeight="true" outlineLevel="0" collapsed="false">
      <c r="A29" s="5"/>
      <c r="B29" s="6"/>
      <c r="C29" s="6"/>
      <c r="D29" s="6"/>
      <c r="E29" s="6"/>
      <c r="F29" s="5"/>
      <c r="G29" s="5"/>
      <c r="H29" s="5"/>
      <c r="I29" s="5"/>
      <c r="J29" s="7" t="str">
        <f aca="false">IF(COUNTA(F29:I29)&lt;4,"",SUM(F29:I29))</f>
        <v/>
      </c>
      <c r="K29" s="7" t="str">
        <f aca="false">IF(J29="","",IF(OR(F29=1,G29=1),"Reprovada",IF(J29&gt;=10,"Aprovada",IF(J29&gt;=8,"Com ressalvas","Reprovada"))))</f>
        <v/>
      </c>
      <c r="L29" s="6"/>
    </row>
    <row r="30" customFormat="false" ht="30" hidden="false" customHeight="true" outlineLevel="0" collapsed="false">
      <c r="A30" s="5"/>
      <c r="B30" s="6"/>
      <c r="C30" s="6"/>
      <c r="D30" s="6"/>
      <c r="E30" s="6"/>
      <c r="F30" s="5"/>
      <c r="G30" s="5"/>
      <c r="H30" s="5"/>
      <c r="I30" s="5"/>
      <c r="J30" s="7" t="str">
        <f aca="false">IF(COUNTA(F30:I30)&lt;4,"",SUM(F30:I30))</f>
        <v/>
      </c>
      <c r="K30" s="7" t="str">
        <f aca="false">IF(J30="","",IF(OR(F30=1,G30=1),"Reprovada",IF(J30&gt;=10,"Aprovada",IF(J30&gt;=8,"Com ressalvas","Reprovada"))))</f>
        <v/>
      </c>
      <c r="L30" s="6"/>
    </row>
    <row r="31" customFormat="false" ht="30" hidden="false" customHeight="true" outlineLevel="0" collapsed="false">
      <c r="A31" s="5"/>
      <c r="B31" s="6"/>
      <c r="C31" s="6"/>
      <c r="D31" s="6"/>
      <c r="E31" s="6"/>
      <c r="F31" s="5"/>
      <c r="G31" s="5"/>
      <c r="H31" s="5"/>
      <c r="I31" s="5"/>
      <c r="J31" s="7" t="str">
        <f aca="false">IF(COUNTA(F31:I31)&lt;4,"",SUM(F31:I31))</f>
        <v/>
      </c>
      <c r="K31" s="7" t="str">
        <f aca="false">IF(J31="","",IF(OR(F31=1,G31=1),"Reprovada",IF(J31&gt;=10,"Aprovada",IF(J31&gt;=8,"Com ressalvas","Reprovada"))))</f>
        <v/>
      </c>
      <c r="L31" s="6"/>
    </row>
    <row r="32" customFormat="false" ht="30" hidden="false" customHeight="true" outlineLevel="0" collapsed="false">
      <c r="A32" s="5"/>
      <c r="B32" s="6"/>
      <c r="C32" s="6"/>
      <c r="D32" s="6"/>
      <c r="E32" s="6"/>
      <c r="F32" s="5"/>
      <c r="G32" s="5"/>
      <c r="H32" s="5"/>
      <c r="I32" s="5"/>
      <c r="J32" s="7" t="str">
        <f aca="false">IF(COUNTA(F32:I32)&lt;4,"",SUM(F32:I32))</f>
        <v/>
      </c>
      <c r="K32" s="7" t="str">
        <f aca="false">IF(J32="","",IF(OR(F32=1,G32=1),"Reprovada",IF(J32&gt;=10,"Aprovada",IF(J32&gt;=8,"Com ressalvas","Reprovada"))))</f>
        <v/>
      </c>
      <c r="L32" s="6"/>
    </row>
    <row r="33" customFormat="false" ht="30" hidden="false" customHeight="true" outlineLevel="0" collapsed="false">
      <c r="A33" s="5"/>
      <c r="B33" s="6"/>
      <c r="C33" s="6"/>
      <c r="D33" s="6"/>
      <c r="E33" s="6"/>
      <c r="F33" s="5"/>
      <c r="G33" s="5"/>
      <c r="H33" s="5"/>
      <c r="I33" s="5"/>
      <c r="J33" s="7" t="str">
        <f aca="false">IF(COUNTA(F33:I33)&lt;4,"",SUM(F33:I33))</f>
        <v/>
      </c>
      <c r="K33" s="7" t="str">
        <f aca="false">IF(J33="","",IF(OR(F33=1,G33=1),"Reprovada",IF(J33&gt;=10,"Aprovada",IF(J33&gt;=8,"Com ressalvas","Reprovada"))))</f>
        <v/>
      </c>
      <c r="L33" s="6"/>
    </row>
    <row r="34" customFormat="false" ht="30" hidden="false" customHeight="true" outlineLevel="0" collapsed="false">
      <c r="A34" s="5"/>
      <c r="B34" s="6"/>
      <c r="C34" s="6"/>
      <c r="D34" s="6"/>
      <c r="E34" s="6"/>
      <c r="F34" s="5"/>
      <c r="G34" s="5"/>
      <c r="H34" s="5"/>
      <c r="I34" s="5"/>
      <c r="J34" s="7" t="str">
        <f aca="false">IF(COUNTA(F34:I34)&lt;4,"",SUM(F34:I34))</f>
        <v/>
      </c>
      <c r="K34" s="7" t="str">
        <f aca="false">IF(J34="","",IF(OR(F34=1,G34=1),"Reprovada",IF(J34&gt;=10,"Aprovada",IF(J34&gt;=8,"Com ressalvas","Reprovada"))))</f>
        <v/>
      </c>
      <c r="L34" s="6"/>
    </row>
    <row r="35" customFormat="false" ht="30" hidden="false" customHeight="true" outlineLevel="0" collapsed="false">
      <c r="A35" s="5"/>
      <c r="B35" s="6"/>
      <c r="C35" s="6"/>
      <c r="D35" s="6"/>
      <c r="E35" s="6"/>
      <c r="F35" s="5"/>
      <c r="G35" s="5"/>
      <c r="H35" s="5"/>
      <c r="I35" s="5"/>
      <c r="J35" s="7" t="str">
        <f aca="false">IF(COUNTA(F35:I35)&lt;4,"",SUM(F35:I35))</f>
        <v/>
      </c>
      <c r="K35" s="7" t="str">
        <f aca="false">IF(J35="","",IF(OR(F35=1,G35=1),"Reprovada",IF(J35&gt;=10,"Aprovada",IF(J35&gt;=8,"Com ressalvas","Reprovada"))))</f>
        <v/>
      </c>
      <c r="L35" s="6"/>
    </row>
    <row r="36" customFormat="false" ht="30" hidden="false" customHeight="true" outlineLevel="0" collapsed="false">
      <c r="A36" s="5"/>
      <c r="B36" s="6"/>
      <c r="C36" s="6"/>
      <c r="D36" s="6"/>
      <c r="E36" s="6"/>
      <c r="F36" s="5"/>
      <c r="G36" s="5"/>
      <c r="H36" s="5"/>
      <c r="I36" s="5"/>
      <c r="J36" s="7" t="str">
        <f aca="false">IF(COUNTA(F36:I36)&lt;4,"",SUM(F36:I36))</f>
        <v/>
      </c>
      <c r="K36" s="7" t="str">
        <f aca="false">IF(J36="","",IF(OR(F36=1,G36=1),"Reprovada",IF(J36&gt;=10,"Aprovada",IF(J36&gt;=8,"Com ressalvas","Reprovada"))))</f>
        <v/>
      </c>
      <c r="L36" s="6"/>
    </row>
    <row r="37" customFormat="false" ht="30" hidden="false" customHeight="true" outlineLevel="0" collapsed="false">
      <c r="A37" s="5"/>
      <c r="B37" s="6"/>
      <c r="C37" s="6"/>
      <c r="D37" s="6"/>
      <c r="E37" s="6"/>
      <c r="F37" s="5"/>
      <c r="G37" s="5"/>
      <c r="H37" s="5"/>
      <c r="I37" s="5"/>
      <c r="J37" s="7" t="str">
        <f aca="false">IF(COUNTA(F37:I37)&lt;4,"",SUM(F37:I37))</f>
        <v/>
      </c>
      <c r="K37" s="7" t="str">
        <f aca="false">IF(J37="","",IF(OR(F37=1,G37=1),"Reprovada",IF(J37&gt;=10,"Aprovada",IF(J37&gt;=8,"Com ressalvas","Reprovada"))))</f>
        <v/>
      </c>
      <c r="L37" s="6"/>
    </row>
    <row r="38" customFormat="false" ht="30" hidden="false" customHeight="true" outlineLevel="0" collapsed="false">
      <c r="A38" s="5"/>
      <c r="B38" s="6"/>
      <c r="C38" s="6"/>
      <c r="D38" s="6"/>
      <c r="E38" s="6"/>
      <c r="F38" s="5"/>
      <c r="G38" s="5"/>
      <c r="H38" s="5"/>
      <c r="I38" s="5"/>
      <c r="J38" s="7" t="str">
        <f aca="false">IF(COUNTA(F38:I38)&lt;4,"",SUM(F38:I38))</f>
        <v/>
      </c>
      <c r="K38" s="7" t="str">
        <f aca="false">IF(J38="","",IF(OR(F38=1,G38=1),"Reprovada",IF(J38&gt;=10,"Aprovada",IF(J38&gt;=8,"Com ressalvas","Reprovada"))))</f>
        <v/>
      </c>
      <c r="L38" s="6"/>
    </row>
    <row r="39" customFormat="false" ht="30" hidden="false" customHeight="true" outlineLevel="0" collapsed="false">
      <c r="A39" s="5"/>
      <c r="B39" s="6"/>
      <c r="C39" s="6"/>
      <c r="D39" s="6"/>
      <c r="E39" s="6"/>
      <c r="F39" s="5"/>
      <c r="G39" s="5"/>
      <c r="H39" s="5"/>
      <c r="I39" s="5"/>
      <c r="J39" s="7" t="str">
        <f aca="false">IF(COUNTA(F39:I39)&lt;4,"",SUM(F39:I39))</f>
        <v/>
      </c>
      <c r="K39" s="7" t="str">
        <f aca="false">IF(J39="","",IF(OR(F39=1,G39=1),"Reprovada",IF(J39&gt;=10,"Aprovada",IF(J39&gt;=8,"Com ressalvas","Reprovada"))))</f>
        <v/>
      </c>
      <c r="L39" s="6"/>
    </row>
    <row r="40" customFormat="false" ht="30" hidden="false" customHeight="true" outlineLevel="0" collapsed="false">
      <c r="A40" s="5"/>
      <c r="B40" s="6"/>
      <c r="C40" s="6"/>
      <c r="D40" s="6"/>
      <c r="E40" s="6"/>
      <c r="F40" s="5"/>
      <c r="G40" s="5"/>
      <c r="H40" s="5"/>
      <c r="I40" s="5"/>
      <c r="J40" s="7" t="str">
        <f aca="false">IF(COUNTA(F40:I40)&lt;4,"",SUM(F40:I40))</f>
        <v/>
      </c>
      <c r="K40" s="7" t="str">
        <f aca="false">IF(J40="","",IF(OR(F40=1,G40=1),"Reprovada",IF(J40&gt;=10,"Aprovada",IF(J40&gt;=8,"Com ressalvas","Reprovada"))))</f>
        <v/>
      </c>
      <c r="L40" s="6"/>
    </row>
    <row r="41" customFormat="false" ht="30" hidden="false" customHeight="true" outlineLevel="0" collapsed="false">
      <c r="A41" s="5"/>
      <c r="B41" s="6"/>
      <c r="C41" s="6"/>
      <c r="D41" s="6"/>
      <c r="E41" s="6"/>
      <c r="F41" s="5"/>
      <c r="G41" s="5"/>
      <c r="H41" s="5"/>
      <c r="I41" s="5"/>
      <c r="J41" s="7" t="str">
        <f aca="false">IF(COUNTA(F41:I41)&lt;4,"",SUM(F41:I41))</f>
        <v/>
      </c>
      <c r="K41" s="7" t="str">
        <f aca="false">IF(J41="","",IF(OR(F41=1,G41=1),"Reprovada",IF(J41&gt;=10,"Aprovada",IF(J41&gt;=8,"Com ressalvas","Reprovada"))))</f>
        <v/>
      </c>
      <c r="L41" s="6"/>
    </row>
    <row r="42" customFormat="false" ht="30" hidden="false" customHeight="true" outlineLevel="0" collapsed="false">
      <c r="A42" s="5"/>
      <c r="B42" s="6"/>
      <c r="C42" s="6"/>
      <c r="D42" s="6"/>
      <c r="E42" s="6"/>
      <c r="F42" s="5"/>
      <c r="G42" s="5"/>
      <c r="H42" s="5"/>
      <c r="I42" s="5"/>
      <c r="J42" s="7" t="str">
        <f aca="false">IF(COUNTA(F42:I42)&lt;4,"",SUM(F42:I42))</f>
        <v/>
      </c>
      <c r="K42" s="7" t="str">
        <f aca="false">IF(J42="","",IF(OR(F42=1,G42=1),"Reprovada",IF(J42&gt;=10,"Aprovada",IF(J42&gt;=8,"Com ressalvas","Reprovada"))))</f>
        <v/>
      </c>
      <c r="L42" s="6"/>
    </row>
    <row r="43" customFormat="false" ht="30" hidden="false" customHeight="true" outlineLevel="0" collapsed="false">
      <c r="A43" s="5"/>
      <c r="B43" s="6"/>
      <c r="C43" s="6"/>
      <c r="D43" s="6"/>
      <c r="E43" s="6"/>
      <c r="F43" s="5"/>
      <c r="G43" s="5"/>
      <c r="H43" s="5"/>
      <c r="I43" s="5"/>
      <c r="J43" s="7" t="str">
        <f aca="false">IF(COUNTA(F43:I43)&lt;4,"",SUM(F43:I43))</f>
        <v/>
      </c>
      <c r="K43" s="7" t="str">
        <f aca="false">IF(J43="","",IF(OR(F43=1,G43=1),"Reprovada",IF(J43&gt;=10,"Aprovada",IF(J43&gt;=8,"Com ressalvas","Reprovada"))))</f>
        <v/>
      </c>
      <c r="L43" s="6"/>
    </row>
    <row r="44" customFormat="false" ht="30" hidden="false" customHeight="true" outlineLevel="0" collapsed="false">
      <c r="A44" s="5"/>
      <c r="B44" s="6"/>
      <c r="C44" s="6"/>
      <c r="D44" s="6"/>
      <c r="E44" s="6"/>
      <c r="F44" s="5"/>
      <c r="G44" s="5"/>
      <c r="H44" s="5"/>
      <c r="I44" s="5"/>
      <c r="J44" s="7" t="str">
        <f aca="false">IF(COUNTA(F44:I44)&lt;4,"",SUM(F44:I44))</f>
        <v/>
      </c>
      <c r="K44" s="7" t="str">
        <f aca="false">IF(J44="","",IF(OR(F44=1,G44=1),"Reprovada",IF(J44&gt;=10,"Aprovada",IF(J44&gt;=8,"Com ressalvas","Reprovada"))))</f>
        <v/>
      </c>
      <c r="L44" s="6"/>
    </row>
    <row r="45" customFormat="false" ht="30" hidden="false" customHeight="true" outlineLevel="0" collapsed="false">
      <c r="A45" s="5"/>
      <c r="B45" s="6"/>
      <c r="C45" s="6"/>
      <c r="D45" s="6"/>
      <c r="E45" s="6"/>
      <c r="F45" s="5"/>
      <c r="G45" s="5"/>
      <c r="H45" s="5"/>
      <c r="I45" s="5"/>
      <c r="J45" s="7" t="str">
        <f aca="false">IF(COUNTA(F45:I45)&lt;4,"",SUM(F45:I45))</f>
        <v/>
      </c>
      <c r="K45" s="7" t="str">
        <f aca="false">IF(J45="","",IF(OR(F45=1,G45=1),"Reprovada",IF(J45&gt;=10,"Aprovada",IF(J45&gt;=8,"Com ressalvas","Reprovada"))))</f>
        <v/>
      </c>
      <c r="L45" s="6"/>
    </row>
    <row r="46" customFormat="false" ht="30" hidden="false" customHeight="true" outlineLevel="0" collapsed="false">
      <c r="A46" s="5"/>
      <c r="B46" s="6"/>
      <c r="C46" s="6"/>
      <c r="D46" s="6"/>
      <c r="E46" s="6"/>
      <c r="F46" s="5"/>
      <c r="G46" s="5"/>
      <c r="H46" s="5"/>
      <c r="I46" s="5"/>
      <c r="J46" s="7" t="str">
        <f aca="false">IF(COUNTA(F46:I46)&lt;4,"",SUM(F46:I46))</f>
        <v/>
      </c>
      <c r="K46" s="7" t="str">
        <f aca="false">IF(J46="","",IF(OR(F46=1,G46=1),"Reprovada",IF(J46&gt;=10,"Aprovada",IF(J46&gt;=8,"Com ressalvas","Reprovada"))))</f>
        <v/>
      </c>
      <c r="L46" s="6"/>
    </row>
    <row r="47" customFormat="false" ht="30" hidden="false" customHeight="true" outlineLevel="0" collapsed="false">
      <c r="A47" s="5"/>
      <c r="B47" s="6"/>
      <c r="C47" s="6"/>
      <c r="D47" s="6"/>
      <c r="E47" s="6"/>
      <c r="F47" s="5"/>
      <c r="G47" s="5"/>
      <c r="H47" s="5"/>
      <c r="I47" s="5"/>
      <c r="J47" s="7" t="str">
        <f aca="false">IF(COUNTA(F47:I47)&lt;4,"",SUM(F47:I47))</f>
        <v/>
      </c>
      <c r="K47" s="7" t="str">
        <f aca="false">IF(J47="","",IF(OR(F47=1,G47=1),"Reprovada",IF(J47&gt;=10,"Aprovada",IF(J47&gt;=8,"Com ressalvas","Reprovada"))))</f>
        <v/>
      </c>
      <c r="L47" s="6"/>
    </row>
    <row r="48" customFormat="false" ht="30" hidden="false" customHeight="true" outlineLevel="0" collapsed="false">
      <c r="A48" s="5"/>
      <c r="B48" s="6"/>
      <c r="C48" s="6"/>
      <c r="D48" s="6"/>
      <c r="E48" s="6"/>
      <c r="F48" s="5"/>
      <c r="G48" s="5"/>
      <c r="H48" s="5"/>
      <c r="I48" s="5"/>
      <c r="J48" s="7" t="str">
        <f aca="false">IF(COUNTA(F48:I48)&lt;4,"",SUM(F48:I48))</f>
        <v/>
      </c>
      <c r="K48" s="7" t="str">
        <f aca="false">IF(J48="","",IF(OR(F48=1,G48=1),"Reprovada",IF(J48&gt;=10,"Aprovada",IF(J48&gt;=8,"Com ressalvas","Reprovada"))))</f>
        <v/>
      </c>
      <c r="L48" s="6"/>
    </row>
    <row r="49" customFormat="false" ht="30" hidden="false" customHeight="true" outlineLevel="0" collapsed="false">
      <c r="A49" s="5"/>
      <c r="B49" s="6"/>
      <c r="C49" s="6"/>
      <c r="D49" s="6"/>
      <c r="E49" s="6"/>
      <c r="F49" s="5"/>
      <c r="G49" s="5"/>
      <c r="H49" s="5"/>
      <c r="I49" s="5"/>
      <c r="J49" s="7" t="str">
        <f aca="false">IF(COUNTA(F49:I49)&lt;4,"",SUM(F49:I49))</f>
        <v/>
      </c>
      <c r="K49" s="7" t="str">
        <f aca="false">IF(J49="","",IF(OR(F49=1,G49=1),"Reprovada",IF(J49&gt;=10,"Aprovada",IF(J49&gt;=8,"Com ressalvas","Reprovada"))))</f>
        <v/>
      </c>
      <c r="L49" s="6"/>
    </row>
    <row r="50" customFormat="false" ht="30" hidden="false" customHeight="true" outlineLevel="0" collapsed="false">
      <c r="A50" s="5"/>
      <c r="B50" s="6"/>
      <c r="C50" s="6"/>
      <c r="D50" s="6"/>
      <c r="E50" s="6"/>
      <c r="F50" s="5"/>
      <c r="G50" s="5"/>
      <c r="H50" s="5"/>
      <c r="I50" s="5"/>
      <c r="J50" s="7" t="str">
        <f aca="false">IF(COUNTA(F50:I50)&lt;4,"",SUM(F50:I50))</f>
        <v/>
      </c>
      <c r="K50" s="7" t="str">
        <f aca="false">IF(J50="","",IF(OR(F50=1,G50=1),"Reprovada",IF(J50&gt;=10,"Aprovada",IF(J50&gt;=8,"Com ressalvas","Reprovada"))))</f>
        <v/>
      </c>
      <c r="L50" s="6"/>
    </row>
    <row r="51" customFormat="false" ht="30" hidden="false" customHeight="true" outlineLevel="0" collapsed="false">
      <c r="A51" s="5"/>
      <c r="B51" s="6"/>
      <c r="C51" s="6"/>
      <c r="D51" s="6"/>
      <c r="E51" s="6"/>
      <c r="F51" s="5"/>
      <c r="G51" s="5"/>
      <c r="H51" s="5"/>
      <c r="I51" s="5"/>
      <c r="J51" s="7" t="str">
        <f aca="false">IF(COUNTA(F51:I51)&lt;4,"",SUM(F51:I51))</f>
        <v/>
      </c>
      <c r="K51" s="7" t="str">
        <f aca="false">IF(J51="","",IF(OR(F51=1,G51=1),"Reprovada",IF(J51&gt;=10,"Aprovada",IF(J51&gt;=8,"Com ressalvas","Reprovada"))))</f>
        <v/>
      </c>
      <c r="L51" s="6"/>
    </row>
    <row r="52" customFormat="false" ht="30" hidden="false" customHeight="true" outlineLevel="0" collapsed="false">
      <c r="A52" s="5"/>
      <c r="B52" s="6"/>
      <c r="C52" s="6"/>
      <c r="D52" s="6"/>
      <c r="E52" s="6"/>
      <c r="F52" s="5"/>
      <c r="G52" s="5"/>
      <c r="H52" s="5"/>
      <c r="I52" s="5"/>
      <c r="J52" s="7" t="str">
        <f aca="false">IF(COUNTA(F52:I52)&lt;4,"",SUM(F52:I52))</f>
        <v/>
      </c>
      <c r="K52" s="7" t="str">
        <f aca="false">IF(J52="","",IF(OR(F52=1,G52=1),"Reprovada",IF(J52&gt;=10,"Aprovada",IF(J52&gt;=8,"Com ressalvas","Reprovada"))))</f>
        <v/>
      </c>
      <c r="L52" s="6"/>
    </row>
    <row r="53" customFormat="false" ht="30" hidden="false" customHeight="true" outlineLevel="0" collapsed="false">
      <c r="A53" s="5"/>
      <c r="B53" s="6"/>
      <c r="C53" s="6"/>
      <c r="D53" s="6"/>
      <c r="E53" s="6"/>
      <c r="F53" s="5"/>
      <c r="G53" s="5"/>
      <c r="H53" s="5"/>
      <c r="I53" s="5"/>
      <c r="J53" s="7" t="str">
        <f aca="false">IF(COUNTA(F53:I53)&lt;4,"",SUM(F53:I53))</f>
        <v/>
      </c>
      <c r="K53" s="7" t="str">
        <f aca="false">IF(J53="","",IF(OR(F53=1,G53=1),"Reprovada",IF(J53&gt;=10,"Aprovada",IF(J53&gt;=8,"Com ressalvas","Reprovada"))))</f>
        <v/>
      </c>
      <c r="L53" s="6"/>
    </row>
  </sheetData>
  <mergeCells count="2">
    <mergeCell ref="A1:L1"/>
    <mergeCell ref="A2:L2"/>
  </mergeCells>
  <dataValidations count="1">
    <dataValidation allowBlank="true" error="Informe um valor inteiro entre 1 e 3." errorStyle="stop" errorTitle="Valor inválido" operator="between" prompt="1 = inadequado · 2 = parcial · 3 = adequado" promptTitle="Nota da dimensão" showDropDown="false" showErrorMessage="true" showInputMessage="false" sqref="F4:I53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3" min="3" style="1" width="70"/>
  </cols>
  <sheetData>
    <row r="1" customFormat="false" ht="24" hidden="false" customHeight="true" outlineLevel="0" collapsed="false">
      <c r="A1" s="8" t="s">
        <v>19</v>
      </c>
      <c r="B1" s="8"/>
      <c r="C1" s="8"/>
    </row>
    <row r="3" customFormat="false" ht="19.5" hidden="false" customHeight="true" outlineLevel="0" collapsed="false">
      <c r="A3" s="9" t="s">
        <v>20</v>
      </c>
      <c r="B3" s="9"/>
      <c r="C3" s="9"/>
    </row>
    <row r="4" customFormat="false" ht="15" hidden="false" customHeight="true" outlineLevel="0" collapsed="false">
      <c r="A4" s="10" t="s">
        <v>21</v>
      </c>
      <c r="B4" s="10" t="s">
        <v>22</v>
      </c>
      <c r="C4" s="10" t="s">
        <v>23</v>
      </c>
    </row>
    <row r="5" customFormat="false" ht="30" hidden="false" customHeight="true" outlineLevel="0" collapsed="false">
      <c r="A5" s="11" t="s">
        <v>7</v>
      </c>
      <c r="B5" s="12" t="n">
        <v>3</v>
      </c>
      <c r="C5" s="13" t="s">
        <v>24</v>
      </c>
    </row>
    <row r="6" customFormat="false" ht="30" hidden="false" customHeight="true" outlineLevel="0" collapsed="false">
      <c r="A6" s="11"/>
      <c r="B6" s="12" t="n">
        <v>2</v>
      </c>
      <c r="C6" s="13" t="s">
        <v>25</v>
      </c>
    </row>
    <row r="7" customFormat="false" ht="30" hidden="false" customHeight="true" outlineLevel="0" collapsed="false">
      <c r="A7" s="11"/>
      <c r="B7" s="12" t="n">
        <v>1</v>
      </c>
      <c r="C7" s="13" t="s">
        <v>26</v>
      </c>
    </row>
    <row r="8" customFormat="false" ht="30" hidden="false" customHeight="true" outlineLevel="0" collapsed="false">
      <c r="A8" s="11" t="s">
        <v>8</v>
      </c>
      <c r="B8" s="12" t="n">
        <v>3</v>
      </c>
      <c r="C8" s="13" t="s">
        <v>27</v>
      </c>
    </row>
    <row r="9" customFormat="false" ht="30" hidden="false" customHeight="true" outlineLevel="0" collapsed="false">
      <c r="A9" s="11"/>
      <c r="B9" s="12" t="n">
        <v>2</v>
      </c>
      <c r="C9" s="13" t="s">
        <v>28</v>
      </c>
    </row>
    <row r="10" customFormat="false" ht="30" hidden="false" customHeight="true" outlineLevel="0" collapsed="false">
      <c r="A10" s="11"/>
      <c r="B10" s="12" t="n">
        <v>1</v>
      </c>
      <c r="C10" s="13" t="s">
        <v>29</v>
      </c>
    </row>
    <row r="11" customFormat="false" ht="30" hidden="false" customHeight="true" outlineLevel="0" collapsed="false">
      <c r="A11" s="11" t="s">
        <v>9</v>
      </c>
      <c r="B11" s="12" t="n">
        <v>3</v>
      </c>
      <c r="C11" s="13" t="s">
        <v>30</v>
      </c>
    </row>
    <row r="12" customFormat="false" ht="30" hidden="false" customHeight="true" outlineLevel="0" collapsed="false">
      <c r="A12" s="11"/>
      <c r="B12" s="12" t="n">
        <v>2</v>
      </c>
      <c r="C12" s="13" t="s">
        <v>31</v>
      </c>
    </row>
    <row r="13" customFormat="false" ht="30" hidden="false" customHeight="true" outlineLevel="0" collapsed="false">
      <c r="A13" s="11"/>
      <c r="B13" s="12" t="n">
        <v>1</v>
      </c>
      <c r="C13" s="13" t="s">
        <v>32</v>
      </c>
    </row>
    <row r="14" customFormat="false" ht="30" hidden="false" customHeight="true" outlineLevel="0" collapsed="false">
      <c r="A14" s="11" t="s">
        <v>10</v>
      </c>
      <c r="B14" s="12" t="n">
        <v>3</v>
      </c>
      <c r="C14" s="13" t="s">
        <v>33</v>
      </c>
    </row>
    <row r="15" customFormat="false" ht="30" hidden="false" customHeight="true" outlineLevel="0" collapsed="false">
      <c r="A15" s="11"/>
      <c r="B15" s="12" t="n">
        <v>2</v>
      </c>
      <c r="C15" s="13" t="s">
        <v>34</v>
      </c>
    </row>
    <row r="16" customFormat="false" ht="30" hidden="false" customHeight="true" outlineLevel="0" collapsed="false">
      <c r="A16" s="11"/>
      <c r="B16" s="12" t="n">
        <v>1</v>
      </c>
      <c r="C16" s="13" t="s">
        <v>35</v>
      </c>
    </row>
    <row r="18" customFormat="false" ht="19.5" hidden="false" customHeight="true" outlineLevel="0" collapsed="false">
      <c r="A18" s="9" t="s">
        <v>36</v>
      </c>
      <c r="B18" s="9"/>
      <c r="C18" s="9"/>
    </row>
    <row r="19" customFormat="false" ht="27.75" hidden="false" customHeight="true" outlineLevel="0" collapsed="false">
      <c r="A19" s="14" t="s">
        <v>37</v>
      </c>
      <c r="B19" s="14"/>
      <c r="C19" s="14"/>
    </row>
    <row r="20" customFormat="false" ht="27.75" hidden="false" customHeight="true" outlineLevel="0" collapsed="false">
      <c r="A20" s="14" t="s">
        <v>38</v>
      </c>
      <c r="B20" s="14"/>
      <c r="C20" s="14"/>
    </row>
    <row r="21" customFormat="false" ht="27.75" hidden="false" customHeight="true" outlineLevel="0" collapsed="false">
      <c r="A21" s="14" t="s">
        <v>39</v>
      </c>
      <c r="B21" s="14"/>
      <c r="C21" s="14"/>
    </row>
    <row r="22" customFormat="false" ht="27.75" hidden="false" customHeight="true" outlineLevel="0" collapsed="false">
      <c r="A22" s="14" t="s">
        <v>40</v>
      </c>
      <c r="B22" s="14"/>
      <c r="C22" s="14"/>
    </row>
    <row r="23" customFormat="false" ht="27.75" hidden="false" customHeight="true" outlineLevel="0" collapsed="false">
      <c r="A23" s="14" t="s">
        <v>41</v>
      </c>
      <c r="B23" s="14"/>
      <c r="C23" s="14"/>
    </row>
    <row r="25" customFormat="false" ht="19.5" hidden="false" customHeight="true" outlineLevel="0" collapsed="false">
      <c r="A25" s="9" t="s">
        <v>42</v>
      </c>
      <c r="B25" s="9"/>
      <c r="C25" s="9"/>
    </row>
    <row r="26" customFormat="false" ht="24" hidden="false" customHeight="true" outlineLevel="0" collapsed="false">
      <c r="A26" s="14" t="s">
        <v>43</v>
      </c>
      <c r="B26" s="14"/>
      <c r="C26" s="14"/>
    </row>
    <row r="27" customFormat="false" ht="24" hidden="false" customHeight="true" outlineLevel="0" collapsed="false">
      <c r="A27" s="14" t="s">
        <v>44</v>
      </c>
      <c r="B27" s="14"/>
      <c r="C27" s="14"/>
    </row>
    <row r="28" customFormat="false" ht="24" hidden="false" customHeight="true" outlineLevel="0" collapsed="false">
      <c r="A28" s="14" t="s">
        <v>45</v>
      </c>
      <c r="B28" s="14"/>
      <c r="C28" s="14"/>
    </row>
    <row r="29" customFormat="false" ht="24" hidden="false" customHeight="true" outlineLevel="0" collapsed="false">
      <c r="A29" s="14" t="s">
        <v>46</v>
      </c>
      <c r="B29" s="14"/>
      <c r="C29" s="14"/>
    </row>
    <row r="30" customFormat="false" ht="24" hidden="false" customHeight="true" outlineLevel="0" collapsed="false">
      <c r="A30" s="14" t="s">
        <v>47</v>
      </c>
      <c r="B30" s="14"/>
      <c r="C30" s="14"/>
    </row>
  </sheetData>
  <mergeCells count="18">
    <mergeCell ref="A1:C1"/>
    <mergeCell ref="A3:C3"/>
    <mergeCell ref="A5:A7"/>
    <mergeCell ref="A8:A10"/>
    <mergeCell ref="A11:A13"/>
    <mergeCell ref="A14:A16"/>
    <mergeCell ref="A18:C18"/>
    <mergeCell ref="A19:C19"/>
    <mergeCell ref="A20:C20"/>
    <mergeCell ref="A21:C21"/>
    <mergeCell ref="A22:C22"/>
    <mergeCell ref="A23:C23"/>
    <mergeCell ref="A25:C25"/>
    <mergeCell ref="A26:C26"/>
    <mergeCell ref="A27:C27"/>
    <mergeCell ref="A28:C28"/>
    <mergeCell ref="A29:C29"/>
    <mergeCell ref="A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40"/>
  </cols>
  <sheetData>
    <row r="1" customFormat="false" ht="24" hidden="false" customHeight="true" outlineLevel="0" collapsed="false">
      <c r="A1" s="8" t="s">
        <v>48</v>
      </c>
      <c r="B1" s="8"/>
      <c r="C1" s="8"/>
    </row>
    <row r="3" customFormat="false" ht="15" hidden="false" customHeight="true" outlineLevel="0" collapsed="false">
      <c r="A3" s="15" t="s">
        <v>49</v>
      </c>
      <c r="B3" s="16" t="n">
        <f aca="false">B4+B5+B6</f>
        <v>1</v>
      </c>
    </row>
    <row r="4" customFormat="false" ht="15" hidden="false" customHeight="true" outlineLevel="0" collapsed="false">
      <c r="A4" s="15" t="s">
        <v>50</v>
      </c>
      <c r="B4" s="16" t="n">
        <f aca="false">COUNTIF(Avaliação!K4:K53,"Aprovada")</f>
        <v>1</v>
      </c>
    </row>
    <row r="5" customFormat="false" ht="15" hidden="false" customHeight="true" outlineLevel="0" collapsed="false">
      <c r="A5" s="15" t="s">
        <v>51</v>
      </c>
      <c r="B5" s="16" t="n">
        <f aca="false">COUNTIF(Avaliação!K4:K53,"Com ressalvas")</f>
        <v>0</v>
      </c>
    </row>
    <row r="6" customFormat="false" ht="15" hidden="false" customHeight="true" outlineLevel="0" collapsed="false">
      <c r="A6" s="15" t="s">
        <v>52</v>
      </c>
      <c r="B6" s="16" t="n">
        <f aca="false">COUNTIF(Avaliação!K4:K53,"Reprovada")</f>
        <v>0</v>
      </c>
    </row>
    <row r="7" customFormat="false" ht="15" hidden="false" customHeight="true" outlineLevel="0" collapsed="false">
      <c r="A7" s="15" t="s">
        <v>53</v>
      </c>
      <c r="B7" s="17" t="n">
        <f aca="false">IF(B3=0,"",B4/B3)</f>
        <v>1</v>
      </c>
    </row>
    <row r="8" customFormat="false" ht="15" hidden="false" customHeight="true" outlineLevel="0" collapsed="false">
      <c r="A8" s="15" t="s">
        <v>54</v>
      </c>
      <c r="B8" s="16" t="n">
        <f aca="false">IF(COUNT(Avaliação!J4:J53)=0,"",AVERAGE(Avaliação!J4:J53))</f>
        <v>11</v>
      </c>
    </row>
    <row r="10" customFormat="false" ht="15" hidden="false" customHeight="true" outlineLevel="0" collapsed="false">
      <c r="A10" s="18" t="s">
        <v>55</v>
      </c>
    </row>
    <row r="11" customFormat="false" ht="15" hidden="false" customHeight="true" outlineLevel="0" collapsed="false">
      <c r="A11" s="19" t="s">
        <v>7</v>
      </c>
      <c r="B11" s="20" t="n">
        <f aca="false">IF(COUNT(Avaliação!F4:F53)=0,"",AVERAGE(Avaliação!F4:F53))</f>
        <v>3</v>
      </c>
    </row>
    <row r="12" customFormat="false" ht="15" hidden="false" customHeight="true" outlineLevel="0" collapsed="false">
      <c r="A12" s="19" t="s">
        <v>8</v>
      </c>
      <c r="B12" s="20" t="n">
        <f aca="false">IF(COUNT(Avaliação!G4:G53)=0,"",AVERAGE(Avaliação!G4:G53))</f>
        <v>3</v>
      </c>
    </row>
    <row r="13" customFormat="false" ht="15" hidden="false" customHeight="true" outlineLevel="0" collapsed="false">
      <c r="A13" s="19" t="s">
        <v>9</v>
      </c>
      <c r="B13" s="20" t="n">
        <f aca="false">IF(COUNT(Avaliação!H4:H53)=0,"",AVERAGE(Avaliação!H4:H53))</f>
        <v>3</v>
      </c>
    </row>
    <row r="14" customFormat="false" ht="15" hidden="false" customHeight="true" outlineLevel="0" collapsed="false">
      <c r="A14" s="19" t="s">
        <v>10</v>
      </c>
      <c r="B14" s="20" t="n">
        <f aca="false">IF(COUNT(Avaliação!I4:I53)=0,"",AVERAGE(Avaliação!I4:I53))</f>
        <v>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2026-06-07T00:39:05Z</dcterms:created>
  <dc:creator>openpyxl</dc:creator>
  <dc:description/>
  <dc:language>en-US</dc:language>
  <cp:lastModifiedBy/>
  <dcterms:modified xsi:type="dcterms:W3CDTF">2026-06-07T00:40:03Z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